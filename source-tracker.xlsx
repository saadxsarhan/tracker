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orecard" sheetId="2" state="visible" r:id="rId4"/>
    <sheet name="Dashboard Portfolio" sheetId="3" state="visible" r:id="rId5"/>
    <sheet name="SLA Tiers" sheetId="4" state="visible" r:id="rId6"/>
    <sheet name="Ops SLA Tracker" sheetId="5" state="visible" r:id="rId7"/>
    <sheet name="Delivery Tracker" sheetId="6" state="visible" r:id="rId8"/>
    <sheet name="Lookups" sheetId="7" state="visible" r:id="rId9"/>
  </sheets>
  <definedNames>
    <definedName function="false" hidden="true" localSheetId="4" name="_xlnm._FilterDatabase" vbProcedure="false">'Ops SLA Tracker'!$B$6:$AI$37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<sst xmlns="http://schemas.openxmlformats.org/spreadsheetml/2006/main" count="818" uniqueCount="310">
  <si>
    <t xml:space="preserve">Remat Al-Riyadh — Data &amp; Analytics KPI Tracker</t>
  </si>
  <si>
    <t xml:space="preserve">Production-Grade · Cross-Sheet Dynamic · Dropdown-Driven</t>
  </si>
  <si>
    <t xml:space="preserve">Owner: Saad  |  Reports: Yasir (Data Engineering) · Ahmad (BI)</t>
  </si>
  <si>
    <t xml:space="preserve">DATA FLOW (how the workbook is wired)</t>
  </si>
  <si>
    <t xml:space="preserve">Lookups       →  source of all dropdown lists (Tiers, Statuses, Owners, Domains, etc.)</t>
  </si>
  <si>
    <t xml:space="preserve">SLA Tiers     →  KPI × P1/P2/P3 target matrix (single source of truth for Operations targets)</t>
  </si>
  <si>
    <t xml:space="preserve">Dashboard Portfolio  →  master register: tier, owners, stakeholders, governance rules</t>
  </si>
  <si>
    <t xml:space="preserve">Ops SLA Tracker     →  pulls Name/Status/Tier from Portfolio; pulls Targets from SLA Tiers; only Actuals are inputs</t>
  </si>
  <si>
    <t xml:space="preserve">Delivery Tracker    →  7-stage milestone tracker; computed Delivery KPI Summary at bottom</t>
  </si>
  <si>
    <t xml:space="preserve">Scorecard           →  pulls Operations actuals from Ops SLA Tracker; pulls Delivery actuals from Delivery Tracker</t>
  </si>
  <si>
    <t xml:space="preserve">WHAT'S DYNAMIC (and what's input)</t>
  </si>
  <si>
    <t xml:space="preserve">INPUTS (yellow cells):</t>
  </si>
  <si>
    <t xml:space="preserve">   · Dashboard Portfolio: Names, Tiers, Stakeholders, Governance rules (per dashboard)</t>
  </si>
  <si>
    <t xml:space="preserve">   · Ops SLA Tracker: Monthly Actuals per dashboard per KPI</t>
  </si>
  <si>
    <t xml:space="preserve">   · Delivery Tracker: Planned &amp; Actual milestone dates</t>
  </si>
  <si>
    <t xml:space="preserve">   · Scorecard: Manual KPI actuals (Estimation accuracy, Defect escape rate, Fusion coverage, Pre-prod DQ)</t>
  </si>
  <si>
    <t xml:space="preserve">AUTO-CALCULATED (locked cells):</t>
  </si>
  <si>
    <t xml:space="preserve">   · Tier per dashboard in Ops SLA Tracker  →  pulled from Portfolio</t>
  </si>
  <si>
    <t xml:space="preserve">   · SLA Targets per dashboard               →  HLOOKUP from SLA Tiers based on Tier</t>
  </si>
  <si>
    <t xml:space="preserve">   · RAG status everywhere                   →  formula-driven (Green ≥100%, Amber 90–99%, Red &lt;90%)</t>
  </si>
  <si>
    <t xml:space="preserve">   · Status &amp; % Complete in Delivery Tracker →  derived from milestone dates</t>
  </si>
  <si>
    <t xml:space="preserve">   · Delivery KPI Summary                    →  SUMPRODUCT over the 15 dashboards</t>
  </si>
  <si>
    <t xml:space="preserve">   · Scorecard Operations actuals            →  AVERAGEIFS / SUMIFS from Ops SLA Tracker (Live only)</t>
  </si>
  <si>
    <t xml:space="preserve">   · Scorecard Delivery actuals              →  pulled from Delivery Tracker summary</t>
  </si>
  <si>
    <t xml:space="preserve">   · Overall role scores                     →  weighted: 60% Ops + 30% own Delivery + 10% Joint Delivery</t>
  </si>
  <si>
    <t xml:space="preserve">HOW TO USE</t>
  </si>
  <si>
    <t xml:space="preserve">FIRST-TIME SETUP:</t>
  </si>
  <si>
    <t xml:space="preserve">   1.  Dashboard Portfolio: fill in the 16 existing dashboards (Name, Domain, Tier, Source, Frequency, Stakeholders).</t>
  </si>
  <si>
    <t xml:space="preserve">   2.  Validate the SLA Tiers targets reflect your actual organizational SLAs (P1 / P2 / P3 columns).</t>
  </si>
  <si>
    <t xml:space="preserve">   3.  Adjust governance defaults (Access Rule, Change Control Rule) per dashboard if needed.</t>
  </si>
  <si>
    <t xml:space="preserve">EVERY MONTH:</t>
  </si>
  <si>
    <t xml:space="preserve">   1.  Update Period in Ops SLA Tracker (cell C4).</t>
  </si>
  <si>
    <t xml:space="preserve">   2.  Enter Actual SLA values for each Live dashboard in Ops SLA Tracker.</t>
  </si>
  <si>
    <t xml:space="preserve">   3.  Update Actual milestone dates in Delivery Tracker as stages complete.</t>
  </si>
  <si>
    <t xml:space="preserve">   4.  Enter manual Scorecard actuals (Estimation accuracy, Defect escape, etc.) — only 4 cells.</t>
  </si>
  <si>
    <t xml:space="preserve">   5.  Open the Scorecard — everything else has auto-calculated.</t>
  </si>
  <si>
    <t xml:space="preserve">DROPDOWN LISTS (drive consistency)</t>
  </si>
  <si>
    <t xml:space="preserve">Dashboard Portfolio:  Domain · Status · Tier · DE Owner · BI Owner · Source · Frequency · Sensitivity</t>
  </si>
  <si>
    <t xml:space="preserve">All lists live in the Lookups sheet — append new options there to extend.</t>
  </si>
  <si>
    <t xml:space="preserve">MONTHLY KPI SCORECARD</t>
  </si>
  <si>
    <t xml:space="preserve">Auto-aggregated from Ops SLA Tracker and Delivery Tracker. Targets pull from SLA Tiers (P2 baseline).</t>
  </si>
  <si>
    <t xml:space="preserve">Reporting Period:</t>
  </si>
  <si>
    <t xml:space="preserve">#</t>
  </si>
  <si>
    <t xml:space="preserve">KPI</t>
  </si>
  <si>
    <t xml:space="preserve">Owner</t>
  </si>
  <si>
    <t xml:space="preserve">Direction</t>
  </si>
  <si>
    <t xml:space="preserve">Target</t>
  </si>
  <si>
    <t xml:space="preserve">Weight</t>
  </si>
  <si>
    <t xml:space="preserve">Actual</t>
  </si>
  <si>
    <t xml:space="preserve">Score</t>
  </si>
  <si>
    <t xml:space="preserve">RAG</t>
  </si>
  <si>
    <t xml:space="preserve">Source</t>
  </si>
  <si>
    <t xml:space="preserve">PILLAR 1 — OPERATIONS  (16 live dashboards · pulled from Ops SLA Tracker)</t>
  </si>
  <si>
    <t xml:space="preserve">Operations · Data Engineering (Yasir)</t>
  </si>
  <si>
    <t xml:space="preserve">Pipeline availability</t>
  </si>
  <si>
    <t xml:space="preserve">Yasir</t>
  </si>
  <si>
    <t xml:space="preserve">H</t>
  </si>
  <si>
    <t xml:space="preserve">Ops SLA Tracker (Avg, Live)</t>
  </si>
  <si>
    <t xml:space="preserve">Data freshness % met</t>
  </si>
  <si>
    <t xml:space="preserve">Pipeline failures / month</t>
  </si>
  <si>
    <t xml:space="preserve">L</t>
  </si>
  <si>
    <t xml:space="preserve">Ops SLA Tracker (Sum, Live)</t>
  </si>
  <si>
    <t xml:space="preserve">Incident MTTR (hours)</t>
  </si>
  <si>
    <t xml:space="preserve">Data quality pass rate</t>
  </si>
  <si>
    <t xml:space="preserve">Operations · Data Engineering (Yasir) — Weighted Score</t>
  </si>
  <si>
    <t xml:space="preserve">Operations · BI (Ahmad)</t>
  </si>
  <si>
    <t xml:space="preserve">Dashboard availability</t>
  </si>
  <si>
    <t xml:space="preserve">Ahmad</t>
  </si>
  <si>
    <t xml:space="preserve">Avg report load time (sec)</t>
  </si>
  <si>
    <t xml:space="preserve">P1 defect resolution (hrs)</t>
  </si>
  <si>
    <t xml:space="preserve">Active user adoption</t>
  </si>
  <si>
    <t xml:space="preserve">User CSAT (1-5)</t>
  </si>
  <si>
    <t xml:space="preserve">Operations · BI (Ahmad) — Weighted Score</t>
  </si>
  <si>
    <t xml:space="preserve">PILLAR 2 — DELIVERY  (15 new dashboards · pulled from Delivery Tracker + manual)</t>
  </si>
  <si>
    <t xml:space="preserve">Delivery · Joint</t>
  </si>
  <si>
    <t xml:space="preserve">On-time delivery vs roadmap</t>
  </si>
  <si>
    <t xml:space="preserve">Joint</t>
  </si>
  <si>
    <t xml:space="preserve">Delivery Tracker</t>
  </si>
  <si>
    <t xml:space="preserve">Avg cycle time (days)</t>
  </si>
  <si>
    <t xml:space="preserve">Estimation accuracy</t>
  </si>
  <si>
    <t xml:space="preserve">Manual input — from Azure DevOps</t>
  </si>
  <si>
    <t xml:space="preserve">Defect escape rate / dashboard</t>
  </si>
  <si>
    <t xml:space="preserve">UAT first-pass rate</t>
  </si>
  <si>
    <t xml:space="preserve">Delivery · Joint — Weighted Score</t>
  </si>
  <si>
    <t xml:space="preserve">Delivery · Data Engineering (Yasir)</t>
  </si>
  <si>
    <t xml:space="preserve">Fusion semantic-layer coverage</t>
  </si>
  <si>
    <t xml:space="preserve">Manual input — from semantic registry</t>
  </si>
  <si>
    <t xml:space="preserve">Pipeline milestone hit rate</t>
  </si>
  <si>
    <t xml:space="preserve">Pre-prod data quality pass rate</t>
  </si>
  <si>
    <t xml:space="preserve">Manual input — from DQ framework</t>
  </si>
  <si>
    <t xml:space="preserve">Delivery · Data Engineering (Yasir) — Weighted Score</t>
  </si>
  <si>
    <t xml:space="preserve">Delivery · BI (Ahmad)</t>
  </si>
  <si>
    <t xml:space="preserve">Visual milestone hit rate</t>
  </si>
  <si>
    <t xml:space="preserve">Design review first-pass rate</t>
  </si>
  <si>
    <t xml:space="preserve">Stakeholder sign-off cycle (days)</t>
  </si>
  <si>
    <t xml:space="preserve">Delivery · BI (Ahmad) — Weighted Score</t>
  </si>
  <si>
    <t xml:space="preserve">OVERALL ROLE SCORE  (60% own-role Ops · 30% own-role Delivery · 10% Joint Delivery)</t>
  </si>
  <si>
    <t xml:space="preserve">Yasir — overall score</t>
  </si>
  <si>
    <t xml:space="preserve">Ahmad — overall score</t>
  </si>
  <si>
    <t xml:space="preserve">DASHBOARD PORTFOLIO — Master Register &amp; Stakeholder Governance</t>
  </si>
  <si>
    <t xml:space="preserve">Single source of truth for all dashboards. Tier here drives SLA targets in Ops SLA Tracker. Owners, Stakeholders, and Governance Rules captured per dashboard.</t>
  </si>
  <si>
    <t xml:space="preserve">ID</t>
  </si>
  <si>
    <t xml:space="preserve">Dashboard Name</t>
  </si>
  <si>
    <t xml:space="preserve">Domain</t>
  </si>
  <si>
    <t xml:space="preserve">Status</t>
  </si>
  <si>
    <t xml:space="preserve">Tier</t>
  </si>
  <si>
    <t xml:space="preserve">DE Owner</t>
  </si>
  <si>
    <t xml:space="preserve">BI Owner</t>
  </si>
  <si>
    <t xml:space="preserve">Source System</t>
  </si>
  <si>
    <t xml:space="preserve">Refresh Frequency</t>
  </si>
  <si>
    <t xml:space="preserve">Refresh Window</t>
  </si>
  <si>
    <t xml:space="preserve">Business Sponsor</t>
  </si>
  <si>
    <t xml:space="preserve">Data Owner</t>
  </si>
  <si>
    <t xml:space="preserve">Change Approver</t>
  </si>
  <si>
    <t xml:space="preserve">Escalation Contact</t>
  </si>
  <si>
    <t xml:space="preserve">Stakeholder Group</t>
  </si>
  <si>
    <t xml:space="preserve">Access Rule</t>
  </si>
  <si>
    <t xml:space="preserve">Change Control Rule</t>
  </si>
  <si>
    <t xml:space="preserve">Data Sensitivity</t>
  </si>
  <si>
    <t xml:space="preserve">Notes</t>
  </si>
  <si>
    <t xml:space="preserve">Finance — Daily Cash Position</t>
  </si>
  <si>
    <t xml:space="preserve">Finance</t>
  </si>
  <si>
    <t xml:space="preserve">Live</t>
  </si>
  <si>
    <t xml:space="preserve">P1</t>
  </si>
  <si>
    <t xml:space="preserve">Oracle Fusion (Finance)</t>
  </si>
  <si>
    <t xml:space="preserve">Daily</t>
  </si>
  <si>
    <t xml:space="preserve">Daily by 7 AM AST</t>
  </si>
  <si>
    <t xml:space="preserve">CFO + Treasury</t>
  </si>
  <si>
    <t xml:space="preserve">View: Department-wide; Edit: D&amp;A team only</t>
  </si>
  <si>
    <t xml:space="preserve">Minor: Approver only. Major: Sponsor + Approver. CR via Azure DevOps.</t>
  </si>
  <si>
    <t xml:space="preserve">Confidential</t>
  </si>
  <si>
    <t xml:space="preserve">Drives daily liquidity decisions</t>
  </si>
  <si>
    <t xml:space="preserve">Finance — AR Aging &amp; Collections</t>
  </si>
  <si>
    <t xml:space="preserve">P2</t>
  </si>
  <si>
    <t xml:space="preserve">Daily by 8 AM AST</t>
  </si>
  <si>
    <t xml:space="preserve">Finance Dept + Collections</t>
  </si>
  <si>
    <t xml:space="preserve">Finance — AP Status &amp; Payment Run</t>
  </si>
  <si>
    <t xml:space="preserve">Finance Dept + Treasury</t>
  </si>
  <si>
    <t xml:space="preserve">Finance — Monthly P&amp;L</t>
  </si>
  <si>
    <t xml:space="preserve">Monthly</t>
  </si>
  <si>
    <t xml:space="preserve">5th of month by EOD</t>
  </si>
  <si>
    <t xml:space="preserve">CFO + Department Heads</t>
  </si>
  <si>
    <t xml:space="preserve">Used in monthly close</t>
  </si>
  <si>
    <t xml:space="preserve">Finance — Budget vs Actual</t>
  </si>
  <si>
    <t xml:space="preserve">Finance Dept + Department Heads</t>
  </si>
  <si>
    <t xml:space="preserve">Operations — Property Occupancy</t>
  </si>
  <si>
    <t xml:space="preserve">Operations</t>
  </si>
  <si>
    <t xml:space="preserve">Mixed (Fusion + Manual)</t>
  </si>
  <si>
    <t xml:space="preserve">Daily by 9 AM AST</t>
  </si>
  <si>
    <t xml:space="preserve">Operations + Asset Mgmt</t>
  </si>
  <si>
    <t xml:space="preserve">Internal</t>
  </si>
  <si>
    <t xml:space="preserve">Core operational KPI for real estate portfolio</t>
  </si>
  <si>
    <t xml:space="preserve">Operations — Lease Renewals &amp; Expiries</t>
  </si>
  <si>
    <t xml:space="preserve">Weekly</t>
  </si>
  <si>
    <t xml:space="preserve">Mondays by 9 AM AST</t>
  </si>
  <si>
    <t xml:space="preserve">Asset Mgmt + Leasing</t>
  </si>
  <si>
    <t xml:space="preserve">Operations — Revenue by Asset</t>
  </si>
  <si>
    <t xml:space="preserve">Asset Mgmt + CFO</t>
  </si>
  <si>
    <t xml:space="preserve">Operations — Maintenance Tickets</t>
  </si>
  <si>
    <t xml:space="preserve">Service Desk Tool</t>
  </si>
  <si>
    <t xml:space="preserve">Operations + Facilities</t>
  </si>
  <si>
    <t xml:space="preserve">HCM — Headcount &amp; Org</t>
  </si>
  <si>
    <t xml:space="preserve">HCM</t>
  </si>
  <si>
    <t xml:space="preserve">Oracle Fusion (HCM)</t>
  </si>
  <si>
    <t xml:space="preserve">HR / People + Department Heads</t>
  </si>
  <si>
    <t xml:space="preserve">HCM — Attendance &amp; Leave</t>
  </si>
  <si>
    <t xml:space="preserve">P3</t>
  </si>
  <si>
    <t xml:space="preserve">HR / People</t>
  </si>
  <si>
    <t xml:space="preserve">HCM — Payroll Summary</t>
  </si>
  <si>
    <t xml:space="preserve">Payroll cut-off + 1 day</t>
  </si>
  <si>
    <t xml:space="preserve">CFO + HR / People</t>
  </si>
  <si>
    <t xml:space="preserve">Restricted</t>
  </si>
  <si>
    <t xml:space="preserve">Restricted to senior leadership</t>
  </si>
  <si>
    <t xml:space="preserve">Procurement — PO Status &amp; Spend</t>
  </si>
  <si>
    <t xml:space="preserve">Procurement</t>
  </si>
  <si>
    <t xml:space="preserve">Oracle Fusion (Procurement)</t>
  </si>
  <si>
    <t xml:space="preserve">Procurement Dept</t>
  </si>
  <si>
    <t xml:space="preserve">Legacy dashboard — superseded by new Spend Analytics</t>
  </si>
  <si>
    <t xml:space="preserve">IT — System Availability</t>
  </si>
  <si>
    <t xml:space="preserve">IT SM</t>
  </si>
  <si>
    <t xml:space="preserve">IT Operations</t>
  </si>
  <si>
    <t xml:space="preserve">Compliance — Regulatory Reporting</t>
  </si>
  <si>
    <t xml:space="preserve">Compliance</t>
  </si>
  <si>
    <t xml:space="preserve">1st of month by EOD</t>
  </si>
  <si>
    <t xml:space="preserve">CSSO + Compliance</t>
  </si>
  <si>
    <t xml:space="preserve">Used for NCA / regulatory submissions</t>
  </si>
  <si>
    <t xml:space="preserve">Executive — KPI Scorecard</t>
  </si>
  <si>
    <t xml:space="preserve">Strategy</t>
  </si>
  <si>
    <t xml:space="preserve">C-level + Strategy Dept</t>
  </si>
  <si>
    <t xml:space="preserve">Reviewed in weekly leadership meeting</t>
  </si>
  <si>
    <t xml:space="preserve">Procurement — Spend Analytics</t>
  </si>
  <si>
    <t xml:space="preserve">In Build</t>
  </si>
  <si>
    <t xml:space="preserve">Procurement Dept + CFO</t>
  </si>
  <si>
    <t xml:space="preserve">Procurement — Supplier Performance</t>
  </si>
  <si>
    <t xml:space="preserve">Procurement — PR/PO Cycle Time</t>
  </si>
  <si>
    <t xml:space="preserve">Procurement Dept + Operations</t>
  </si>
  <si>
    <t xml:space="preserve">Procurement — Contract Compliance</t>
  </si>
  <si>
    <t xml:space="preserve">Procurement + Legal</t>
  </si>
  <si>
    <t xml:space="preserve">Strategy — KPI Scorecard</t>
  </si>
  <si>
    <t xml:space="preserve">In Scoping</t>
  </si>
  <si>
    <t xml:space="preserve">Strategy Dept + C-level</t>
  </si>
  <si>
    <t xml:space="preserve">Strategy — Initiatives Tracker</t>
  </si>
  <si>
    <t xml:space="preserve">Azure DevOps</t>
  </si>
  <si>
    <t xml:space="preserve">Strategy Dept</t>
  </si>
  <si>
    <t xml:space="preserve">Strategy — Performance vs Plan</t>
  </si>
  <si>
    <t xml:space="preserve">Strategy — TBD #4</t>
  </si>
  <si>
    <t xml:space="preserve">TBD</t>
  </si>
  <si>
    <t xml:space="preserve">IT Tickets — SLA &amp; Volume</t>
  </si>
  <si>
    <t xml:space="preserve">IT Tickets — Backlog &amp; Aging</t>
  </si>
  <si>
    <t xml:space="preserve">HCM — Headcount &amp; Movements</t>
  </si>
  <si>
    <t xml:space="preserve">HCM — Attrition &amp; Time-to-Hire</t>
  </si>
  <si>
    <t xml:space="preserve">TBD A</t>
  </si>
  <si>
    <t xml:space="preserve">Not Started</t>
  </si>
  <si>
    <t xml:space="preserve">TBD B</t>
  </si>
  <si>
    <t xml:space="preserve">TBD C</t>
  </si>
  <si>
    <t xml:space="preserve">SLA TIERS — KPI × Tier Target Matrix</t>
  </si>
  <si>
    <t xml:space="preserve">Single source of truth for tier-driven SLA targets. Ops SLA Tracker pulls targets from here based on each dashboard's tier (set in Dashboard Portfolio). Adjust values per organizational requirements.</t>
  </si>
  <si>
    <t xml:space="preserve">Unit</t>
  </si>
  <si>
    <t xml:space="preserve">%</t>
  </si>
  <si>
    <t xml:space="preserve">Calendar month, excludes planned maintenance</t>
  </si>
  <si>
    <t xml:space="preserve">Window varies per dashboard; set in Portfolio.Refresh Window</t>
  </si>
  <si>
    <t xml:space="preserve">Pipeline failures per month</t>
  </si>
  <si>
    <t xml:space="preserve">Count</t>
  </si>
  <si>
    <t xml:space="preserve">Excludes retries that succeed within 30 minutes</t>
  </si>
  <si>
    <t xml:space="preserve">Incident MTTR</t>
  </si>
  <si>
    <t xml:space="preserve">Hours</t>
  </si>
  <si>
    <t xml:space="preserve">From incident detection to resolution</t>
  </si>
  <si>
    <t xml:space="preserve">Across all DQ test cases</t>
  </si>
  <si>
    <t xml:space="preserve">Power BI service uptime</t>
  </si>
  <si>
    <t xml:space="preserve">Avg report load time</t>
  </si>
  <si>
    <t xml:space="preserve">Seconds</t>
  </si>
  <si>
    <t xml:space="preserve">Top dashboards in tier</t>
  </si>
  <si>
    <t xml:space="preserve">P1 defect resolution time</t>
  </si>
  <si>
    <t xml:space="preserve">From ticket open to fix deployed</t>
  </si>
  <si>
    <t xml:space="preserve">Monthly active vs target audience size</t>
  </si>
  <si>
    <t xml:space="preserve">User CSAT</t>
  </si>
  <si>
    <t xml:space="preserve">Score 1-5</t>
  </si>
  <si>
    <t xml:space="preserve">Quarterly survey average</t>
  </si>
  <si>
    <t xml:space="preserve">TIER DEFINITIONS</t>
  </si>
  <si>
    <t xml:space="preserve">P1 — Critical</t>
  </si>
  <si>
    <t xml:space="preserve">Dashboards used by C-level / regulatory / financial close. Outage triggers immediate escalation.</t>
  </si>
  <si>
    <t xml:space="preserve">P2 — Important</t>
  </si>
  <si>
    <t xml:space="preserve">Dashboards used by department heads or for operational decisions on a weekly basis. Outage notified within 1 hour.</t>
  </si>
  <si>
    <t xml:space="preserve">P3 — Standard</t>
  </si>
  <si>
    <t xml:space="preserve">Reference / informational dashboards used periodically. Outage handled within standard SLA, no on-call escalation.</t>
  </si>
  <si>
    <t xml:space="preserve">OPS SLA TRACKER — Per-Dashboard Monthly SLA Performance</t>
  </si>
  <si>
    <t xml:space="preserve">Targets pull from SLA Tiers based on each dashboard's Tier (set in Dashboard Portfolio). Only Actuals are inputs. RAG auto-calculates. Filter Status = Live to focus on production dashboards.</t>
  </si>
  <si>
    <t xml:space="preserve">MMM-YYYY</t>
  </si>
  <si>
    <t xml:space="preserve">Pipeline Avail. (%)</t>
  </si>
  <si>
    <t xml:space="preserve">Data Freshness (%)</t>
  </si>
  <si>
    <t xml:space="preserve">Pipeline Failures (Cnt)</t>
  </si>
  <si>
    <t xml:space="preserve">MTTR (Hrs)</t>
  </si>
  <si>
    <t xml:space="preserve">DQ Pass Rate (%)</t>
  </si>
  <si>
    <t xml:space="preserve">Dashboard Avail. (%)</t>
  </si>
  <si>
    <t xml:space="preserve">Load Time (Sec)</t>
  </si>
  <si>
    <t xml:space="preserve">P1 Defect Resolution (Hrs)</t>
  </si>
  <si>
    <t xml:space="preserve">Adoption (%)</t>
  </si>
  <si>
    <t xml:space="preserve">CSAT (Scr)</t>
  </si>
  <si>
    <t xml:space="preserve">DELIVERY TRACKER — 15 New Dashboards</t>
  </si>
  <si>
    <t xml:space="preserve">7 stages: BRD → Design Approval → Data Model → Pipeline → Visual → UAT → Production. Yellow = inputs; Status, % Complete, and Summary KPIs auto-calculate. Summary feeds Scorecard.</t>
  </si>
  <si>
    <t xml:space="preserve">Dashboard</t>
  </si>
  <si>
    <t xml:space="preserve">S1: BRD</t>
  </si>
  <si>
    <t xml:space="preserve">S2: Design Approval</t>
  </si>
  <si>
    <t xml:space="preserve">S3: Data Model (Fusion)</t>
  </si>
  <si>
    <t xml:space="preserve">S4: Pipeline (DE)</t>
  </si>
  <si>
    <t xml:space="preserve">S5: Visual (BI)</t>
  </si>
  <si>
    <t xml:space="preserve">S6: UAT</t>
  </si>
  <si>
    <t xml:space="preserve">S7: Production</t>
  </si>
  <si>
    <t xml:space="preserve">% Complete</t>
  </si>
  <si>
    <t xml:space="preserve">Planned</t>
  </si>
  <si>
    <t xml:space="preserve">Portfolio average</t>
  </si>
  <si>
    <t xml:space="preserve">DELIVERY KPI SUMMARY  (computed from above — feeds Scorecard)</t>
  </si>
  <si>
    <t xml:space="preserve">Delivery KPI</t>
  </si>
  <si>
    <t xml:space="preserve">Value</t>
  </si>
  <si>
    <t xml:space="preserve">Portfolio % complete (avg)</t>
  </si>
  <si>
    <t xml:space="preserve">On-time delivery vs roadmap (production)</t>
  </si>
  <si>
    <t xml:space="preserve">Avg cycle time — BRD to Production (days)</t>
  </si>
  <si>
    <t xml:space="preserve">BRD on-time rate</t>
  </si>
  <si>
    <t xml:space="preserve">Design Approval first-pass rate (on-time)</t>
  </si>
  <si>
    <t xml:space="preserve">Stakeholder sign-off cycle (Design Approval, days)</t>
  </si>
  <si>
    <t xml:space="preserve">Pipeline milestone hit rate (Yasir)</t>
  </si>
  <si>
    <t xml:space="preserve">Visual milestone hit rate (Ahmad)</t>
  </si>
  <si>
    <t xml:space="preserve">LEGEND</t>
  </si>
  <si>
    <t xml:space="preserve">Yellow cells</t>
  </si>
  <si>
    <t xml:space="preserve">Input cells — milestone dates</t>
  </si>
  <si>
    <t xml:space="preserve">Light red cell</t>
  </si>
  <si>
    <t xml:space="preserve">Actual date later than planned</t>
  </si>
  <si>
    <t xml:space="preserve">Green % Complete</t>
  </si>
  <si>
    <t xml:space="preserve">Delivered (100%)</t>
  </si>
  <si>
    <t xml:space="preserve">Amber % Complete</t>
  </si>
  <si>
    <t xml:space="preserve">In flight (50–99%)</t>
  </si>
  <si>
    <t xml:space="preserve">Red % Complete</t>
  </si>
  <si>
    <t xml:space="preserve">Below 50%</t>
  </si>
  <si>
    <t xml:space="preserve">LOOKUPS — Dropdown Source Lists</t>
  </si>
  <si>
    <t xml:space="preserve">All dropdowns in the workbook reference the columns below. To add an option, append it to the relevant column.</t>
  </si>
  <si>
    <t xml:space="preserve">Tiers</t>
  </si>
  <si>
    <t xml:space="preserve">Statuses</t>
  </si>
  <si>
    <t xml:space="preserve">Owners</t>
  </si>
  <si>
    <t xml:space="preserve">Domains</t>
  </si>
  <si>
    <t xml:space="preserve">Frequency</t>
  </si>
  <si>
    <t xml:space="preserve">Source Systems</t>
  </si>
  <si>
    <t xml:space="preserve">Real-time</t>
  </si>
  <si>
    <t xml:space="preserve">Public</t>
  </si>
  <si>
    <t xml:space="preserve">Green</t>
  </si>
  <si>
    <t xml:space="preserve">Hourly</t>
  </si>
  <si>
    <t xml:space="preserve">Amber</t>
  </si>
  <si>
    <t xml:space="preserve">Red</t>
  </si>
  <si>
    <t xml:space="preserve">Retired</t>
  </si>
  <si>
    <t xml:space="preserve">Quarterly</t>
  </si>
  <si>
    <t xml:space="preserve">Manual / Excel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</si>
</sst>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"/>
    <numFmt numFmtId="168" formatCode="0.0"/>
    <numFmt numFmtId="169" formatCode="dd\-m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D5A"/>
      <name val="Calibri"/>
      <family val="0"/>
      <charset val="1"/>
    </font>
    <font>
      <i val="true"/>
      <sz val="13"/>
      <color rgb="FF37415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374151"/>
      <name val="Calibri"/>
      <family val="0"/>
      <charset val="1"/>
    </font>
    <font>
      <b val="true"/>
      <sz val="11"/>
      <color rgb="FF1F2D5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color rgb="FF1F2D5A"/>
      <name val="Calibri"/>
      <family val="0"/>
      <charset val="1"/>
    </font>
    <font>
      <b val="true"/>
      <sz val="13"/>
      <color rgb="FF1F2D5A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8"/>
      <color rgb="FF1F2D5A"/>
      <name val="Calibri"/>
      <family val="0"/>
      <charset val="1"/>
    </font>
    <font>
      <i val="true"/>
      <sz val="10"/>
      <color rgb="FF374151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6"/>
      <color rgb="FF1F2D5A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D5A"/>
        <bgColor rgb="FF374151"/>
      </patternFill>
    </fill>
    <fill>
      <patternFill patternType="solid">
        <fgColor rgb="FFF0F4F8"/>
        <bgColor rgb="FFF3F4F6"/>
      </patternFill>
    </fill>
    <fill>
      <patternFill patternType="solid">
        <fgColor rgb="FF374151"/>
        <bgColor rgb="FF1F2D5A"/>
      </patternFill>
    </fill>
    <fill>
      <patternFill patternType="solid">
        <fgColor rgb="FFE8EAF3"/>
        <bgColor rgb="FFE5E7EB"/>
      </patternFill>
    </fill>
    <fill>
      <patternFill patternType="solid">
        <fgColor rgb="FFFFF9C4"/>
        <bgColor rgb="FFFEF3C7"/>
      </patternFill>
    </fill>
    <fill>
      <patternFill patternType="solid">
        <fgColor rgb="FFC9A94F"/>
        <bgColor rgb="FFFF9900"/>
      </patternFill>
    </fill>
    <fill>
      <patternFill patternType="solid">
        <fgColor rgb="FFFFFCF0"/>
        <bgColor rgb="FFFFFFFF"/>
      </patternFill>
    </fill>
    <fill>
      <patternFill patternType="solid">
        <fgColor rgb="FFF3F4F6"/>
        <bgColor rgb="FFF0F4F8"/>
      </patternFill>
    </fill>
    <fill>
      <patternFill patternType="solid">
        <fgColor rgb="FFFECACA"/>
        <bgColor rgb="FFFEE2E2"/>
      </patternFill>
    </fill>
    <fill>
      <patternFill patternType="solid">
        <fgColor rgb="FFD1FAE5"/>
        <bgColor rgb="FFE8EAF3"/>
      </patternFill>
    </fill>
    <fill>
      <patternFill patternType="solid">
        <fgColor rgb="FFFEF3C7"/>
        <bgColor rgb="FFFFF9C4"/>
      </patternFill>
    </fill>
    <fill>
      <patternFill patternType="solid">
        <fgColor rgb="FFFEE2E2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F2D5A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name val="Calibri"/>
        <charset val="1"/>
        <family val="0"/>
        <b val="1"/>
        <color rgb="FF065F46"/>
        <sz val="11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1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991B1B"/>
        <sz val="11"/>
      </font>
      <fill>
        <patternFill>
          <bgColor rgb="FFFEE2E2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CF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CCCCC"/>
      <rgbColor rgb="FF808080"/>
      <rgbColor rgb="FF9999FF"/>
      <rgbColor rgb="FF993366"/>
      <rgbColor rgb="FFFFF9C4"/>
      <rgbColor rgb="FFF0F4F8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3"/>
      <rgbColor rgb="FFD1FAE5"/>
      <rgbColor rgb="FFFEF3C7"/>
      <rgbColor rgb="FFF3F4F6"/>
      <rgbColor rgb="FFFEE2E2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C9A94F"/>
      <rgbColor rgb="FF1F2D5A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8" min="3" style="1" width="16"/>
  </cols>
  <sheetData>
    <row r="2" customFormat="false" ht="31.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7" customFormat="false" ht="21.75" hidden="false" customHeight="true" outlineLevel="0" collapsed="false">
      <c r="B7" s="5" t="s">
        <v>3</v>
      </c>
      <c r="C7" s="5"/>
      <c r="D7" s="5"/>
      <c r="E7" s="5"/>
      <c r="F7" s="5"/>
      <c r="G7" s="5"/>
      <c r="H7" s="5"/>
    </row>
    <row r="8" customFormat="false" ht="21.75" hidden="false" customHeight="true" outlineLevel="0" collapsed="false">
      <c r="B8" s="6" t="s">
        <v>4</v>
      </c>
      <c r="C8" s="6"/>
      <c r="D8" s="6"/>
      <c r="E8" s="6"/>
      <c r="F8" s="6"/>
      <c r="G8" s="6"/>
      <c r="H8" s="6"/>
    </row>
    <row r="9" customFormat="false" ht="21.75" hidden="false" customHeight="true" outlineLevel="0" collapsed="false">
      <c r="B9" s="6" t="s">
        <v>5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B10" s="6" t="s">
        <v>6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B11" s="6" t="s">
        <v>7</v>
      </c>
      <c r="C11" s="6"/>
      <c r="D11" s="6"/>
      <c r="E11" s="6"/>
      <c r="F11" s="6"/>
      <c r="G11" s="6"/>
      <c r="H11" s="6"/>
    </row>
    <row r="12" customFormat="false" ht="21.75" hidden="false" customHeight="true" outlineLevel="0" collapsed="false">
      <c r="B12" s="6" t="s">
        <v>8</v>
      </c>
      <c r="C12" s="6"/>
      <c r="D12" s="6"/>
      <c r="E12" s="6"/>
      <c r="F12" s="6"/>
      <c r="G12" s="6"/>
      <c r="H12" s="6"/>
    </row>
    <row r="13" customFormat="false" ht="21.75" hidden="false" customHeight="true" outlineLevel="0" collapsed="false">
      <c r="B13" s="6" t="s">
        <v>9</v>
      </c>
      <c r="C13" s="6"/>
      <c r="D13" s="6"/>
      <c r="E13" s="6"/>
      <c r="F13" s="6"/>
      <c r="G13" s="6"/>
      <c r="H13" s="6"/>
    </row>
    <row r="15" customFormat="false" ht="21.75" hidden="false" customHeight="true" outlineLevel="0" collapsed="false">
      <c r="B15" s="5" t="s">
        <v>10</v>
      </c>
      <c r="C15" s="5"/>
      <c r="D15" s="5"/>
      <c r="E15" s="5"/>
      <c r="F15" s="5"/>
      <c r="G15" s="5"/>
      <c r="H15" s="5"/>
    </row>
    <row r="16" customFormat="false" ht="21.75" hidden="false" customHeight="true" outlineLevel="0" collapsed="false">
      <c r="B16" s="6" t="s">
        <v>11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B17" s="6" t="s">
        <v>12</v>
      </c>
      <c r="C17" s="6"/>
      <c r="D17" s="6"/>
      <c r="E17" s="6"/>
      <c r="F17" s="6"/>
      <c r="G17" s="6"/>
      <c r="H17" s="6"/>
    </row>
    <row r="18" customFormat="false" ht="21.75" hidden="false" customHeight="true" outlineLevel="0" collapsed="false">
      <c r="B18" s="6" t="s">
        <v>13</v>
      </c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B19" s="6" t="s">
        <v>14</v>
      </c>
      <c r="C19" s="6"/>
      <c r="D19" s="6"/>
      <c r="E19" s="6"/>
      <c r="F19" s="6"/>
      <c r="G19" s="6"/>
      <c r="H19" s="6"/>
    </row>
    <row r="20" customFormat="false" ht="21.75" hidden="false" customHeight="true" outlineLevel="0" collapsed="false">
      <c r="B20" s="6" t="s">
        <v>15</v>
      </c>
      <c r="C20" s="6"/>
      <c r="D20" s="6"/>
      <c r="E20" s="6"/>
      <c r="F20" s="6"/>
      <c r="G20" s="6"/>
      <c r="H20" s="6"/>
    </row>
    <row r="21" customFormat="false" ht="21.75" hidden="false" customHeight="true" outlineLevel="0" collapsed="false">
      <c r="B21" s="6"/>
      <c r="C21" s="6"/>
      <c r="D21" s="6"/>
      <c r="E21" s="6"/>
      <c r="F21" s="6"/>
      <c r="G21" s="6"/>
      <c r="H21" s="6"/>
    </row>
    <row r="22" customFormat="false" ht="21.75" hidden="false" customHeight="true" outlineLevel="0" collapsed="false">
      <c r="B22" s="6" t="s">
        <v>16</v>
      </c>
      <c r="C22" s="6"/>
      <c r="D22" s="6"/>
      <c r="E22" s="6"/>
      <c r="F22" s="6"/>
      <c r="G22" s="6"/>
      <c r="H22" s="6"/>
    </row>
    <row r="23" customFormat="false" ht="21.75" hidden="false" customHeight="true" outlineLevel="0" collapsed="false">
      <c r="B23" s="6" t="s">
        <v>17</v>
      </c>
      <c r="C23" s="6"/>
      <c r="D23" s="6"/>
      <c r="E23" s="6"/>
      <c r="F23" s="6"/>
      <c r="G23" s="6"/>
      <c r="H23" s="6"/>
    </row>
    <row r="24" customFormat="false" ht="21.75" hidden="false" customHeight="true" outlineLevel="0" collapsed="false">
      <c r="B24" s="6" t="s">
        <v>18</v>
      </c>
      <c r="C24" s="6"/>
      <c r="D24" s="6"/>
      <c r="E24" s="6"/>
      <c r="F24" s="6"/>
      <c r="G24" s="6"/>
      <c r="H24" s="6"/>
    </row>
    <row r="25" customFormat="false" ht="21.75" hidden="false" customHeight="true" outlineLevel="0" collapsed="false">
      <c r="B25" s="6" t="s">
        <v>19</v>
      </c>
      <c r="C25" s="6"/>
      <c r="D25" s="6"/>
      <c r="E25" s="6"/>
      <c r="F25" s="6"/>
      <c r="G25" s="6"/>
      <c r="H25" s="6"/>
    </row>
    <row r="26" customFormat="false" ht="21.75" hidden="false" customHeight="true" outlineLevel="0" collapsed="false">
      <c r="B26" s="6" t="s">
        <v>20</v>
      </c>
      <c r="C26" s="6"/>
      <c r="D26" s="6"/>
      <c r="E26" s="6"/>
      <c r="F26" s="6"/>
      <c r="G26" s="6"/>
      <c r="H26" s="6"/>
    </row>
    <row r="27" customFormat="false" ht="21.75" hidden="false" customHeight="true" outlineLevel="0" collapsed="false">
      <c r="B27" s="6" t="s">
        <v>21</v>
      </c>
      <c r="C27" s="6"/>
      <c r="D27" s="6"/>
      <c r="E27" s="6"/>
      <c r="F27" s="6"/>
      <c r="G27" s="6"/>
      <c r="H27" s="6"/>
    </row>
    <row r="28" customFormat="false" ht="21.75" hidden="false" customHeight="true" outlineLevel="0" collapsed="false">
      <c r="B28" s="6" t="s">
        <v>22</v>
      </c>
      <c r="C28" s="6"/>
      <c r="D28" s="6"/>
      <c r="E28" s="6"/>
      <c r="F28" s="6"/>
      <c r="G28" s="6"/>
      <c r="H28" s="6"/>
    </row>
    <row r="29" customFormat="false" ht="21.75" hidden="false" customHeight="true" outlineLevel="0" collapsed="false">
      <c r="B29" s="6" t="s">
        <v>23</v>
      </c>
      <c r="C29" s="6"/>
      <c r="D29" s="6"/>
      <c r="E29" s="6"/>
      <c r="F29" s="6"/>
      <c r="G29" s="6"/>
      <c r="H29" s="6"/>
    </row>
    <row r="30" customFormat="false" ht="21.75" hidden="false" customHeight="true" outlineLevel="0" collapsed="false">
      <c r="B30" s="6" t="s">
        <v>24</v>
      </c>
      <c r="C30" s="6"/>
      <c r="D30" s="6"/>
      <c r="E30" s="6"/>
      <c r="F30" s="6"/>
      <c r="G30" s="6"/>
      <c r="H30" s="6"/>
    </row>
    <row r="32" customFormat="false" ht="21.75" hidden="false" customHeight="true" outlineLevel="0" collapsed="false">
      <c r="B32" s="5" t="s">
        <v>25</v>
      </c>
      <c r="C32" s="5"/>
      <c r="D32" s="5"/>
      <c r="E32" s="5"/>
      <c r="F32" s="5"/>
      <c r="G32" s="5"/>
      <c r="H32" s="5"/>
    </row>
    <row r="33" customFormat="false" ht="21.75" hidden="false" customHeight="true" outlineLevel="0" collapsed="false">
      <c r="B33" s="6" t="s">
        <v>26</v>
      </c>
      <c r="C33" s="6"/>
      <c r="D33" s="6"/>
      <c r="E33" s="6"/>
      <c r="F33" s="6"/>
      <c r="G33" s="6"/>
      <c r="H33" s="6"/>
    </row>
    <row r="34" customFormat="false" ht="21.75" hidden="false" customHeight="true" outlineLevel="0" collapsed="false">
      <c r="B34" s="6" t="s">
        <v>27</v>
      </c>
      <c r="C34" s="6"/>
      <c r="D34" s="6"/>
      <c r="E34" s="6"/>
      <c r="F34" s="6"/>
      <c r="G34" s="6"/>
      <c r="H34" s="6"/>
    </row>
    <row r="35" customFormat="false" ht="21.75" hidden="false" customHeight="true" outlineLevel="0" collapsed="false">
      <c r="B35" s="6" t="s">
        <v>28</v>
      </c>
      <c r="C35" s="6"/>
      <c r="D35" s="6"/>
      <c r="E35" s="6"/>
      <c r="F35" s="6"/>
      <c r="G35" s="6"/>
      <c r="H35" s="6"/>
    </row>
    <row r="36" customFormat="false" ht="21.75" hidden="false" customHeight="true" outlineLevel="0" collapsed="false">
      <c r="B36" s="6" t="s">
        <v>29</v>
      </c>
      <c r="C36" s="6"/>
      <c r="D36" s="6"/>
      <c r="E36" s="6"/>
      <c r="F36" s="6"/>
      <c r="G36" s="6"/>
      <c r="H36" s="6"/>
    </row>
    <row r="37" customFormat="false" ht="21.75" hidden="false" customHeight="true" outlineLevel="0" collapsed="false">
      <c r="B37" s="6"/>
      <c r="C37" s="6"/>
      <c r="D37" s="6"/>
      <c r="E37" s="6"/>
      <c r="F37" s="6"/>
      <c r="G37" s="6"/>
      <c r="H37" s="6"/>
    </row>
    <row r="38" customFormat="false" ht="21.75" hidden="false" customHeight="true" outlineLevel="0" collapsed="false">
      <c r="B38" s="6" t="s">
        <v>30</v>
      </c>
      <c r="C38" s="6"/>
      <c r="D38" s="6"/>
      <c r="E38" s="6"/>
      <c r="F38" s="6"/>
      <c r="G38" s="6"/>
      <c r="H38" s="6"/>
    </row>
    <row r="39" customFormat="false" ht="21.75" hidden="false" customHeight="true" outlineLevel="0" collapsed="false">
      <c r="B39" s="6" t="s">
        <v>31</v>
      </c>
      <c r="C39" s="6"/>
      <c r="D39" s="6"/>
      <c r="E39" s="6"/>
      <c r="F39" s="6"/>
      <c r="G39" s="6"/>
      <c r="H39" s="6"/>
    </row>
    <row r="40" customFormat="false" ht="21.75" hidden="false" customHeight="true" outlineLevel="0" collapsed="false">
      <c r="B40" s="6" t="s">
        <v>32</v>
      </c>
      <c r="C40" s="6"/>
      <c r="D40" s="6"/>
      <c r="E40" s="6"/>
      <c r="F40" s="6"/>
      <c r="G40" s="6"/>
      <c r="H40" s="6"/>
    </row>
    <row r="41" customFormat="false" ht="21.75" hidden="false" customHeight="true" outlineLevel="0" collapsed="false">
      <c r="B41" s="6" t="s">
        <v>33</v>
      </c>
      <c r="C41" s="6"/>
      <c r="D41" s="6"/>
      <c r="E41" s="6"/>
      <c r="F41" s="6"/>
      <c r="G41" s="6"/>
      <c r="H41" s="6"/>
    </row>
    <row r="42" customFormat="false" ht="21.75" hidden="false" customHeight="true" outlineLevel="0" collapsed="false">
      <c r="B42" s="6" t="s">
        <v>34</v>
      </c>
      <c r="C42" s="6"/>
      <c r="D42" s="6"/>
      <c r="E42" s="6"/>
      <c r="F42" s="6"/>
      <c r="G42" s="6"/>
      <c r="H42" s="6"/>
    </row>
    <row r="43" customFormat="false" ht="21.75" hidden="false" customHeight="true" outlineLevel="0" collapsed="false">
      <c r="B43" s="6" t="s">
        <v>35</v>
      </c>
      <c r="C43" s="6"/>
      <c r="D43" s="6"/>
      <c r="E43" s="6"/>
      <c r="F43" s="6"/>
      <c r="G43" s="6"/>
      <c r="H43" s="6"/>
    </row>
    <row r="45" customFormat="false" ht="21.75" hidden="false" customHeight="true" outlineLevel="0" collapsed="false">
      <c r="B45" s="5" t="s">
        <v>36</v>
      </c>
      <c r="C45" s="5"/>
      <c r="D45" s="5"/>
      <c r="E45" s="5"/>
      <c r="F45" s="5"/>
      <c r="G45" s="5"/>
      <c r="H45" s="5"/>
    </row>
    <row r="46" customFormat="false" ht="21.75" hidden="false" customHeight="true" outlineLevel="0" collapsed="false">
      <c r="B46" s="6" t="s">
        <v>37</v>
      </c>
      <c r="C46" s="6"/>
      <c r="D46" s="6"/>
      <c r="E46" s="6"/>
      <c r="F46" s="6"/>
      <c r="G46" s="6"/>
      <c r="H46" s="6"/>
    </row>
    <row r="47" customFormat="false" ht="21.75" hidden="false" customHeight="true" outlineLevel="0" collapsed="false">
      <c r="B47" s="6" t="s">
        <v>38</v>
      </c>
      <c r="C47" s="6"/>
      <c r="D47" s="6"/>
      <c r="E47" s="6"/>
      <c r="F47" s="6"/>
      <c r="G47" s="6"/>
      <c r="H47" s="6"/>
    </row>
  </sheetData>
  <mergeCells count="38">
    <mergeCell ref="B7:H7"/>
    <mergeCell ref="B8:H8"/>
    <mergeCell ref="B9:H9"/>
    <mergeCell ref="B10:H10"/>
    <mergeCell ref="B11:H11"/>
    <mergeCell ref="B12:H12"/>
    <mergeCell ref="B13:H1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3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0" min="9" style="1" width="11"/>
    <col collapsed="false" customWidth="true" hidden="false" outlineLevel="0" max="11" min="11" style="1" width="36"/>
  </cols>
  <sheetData>
    <row r="2" customFormat="false" ht="31.5" hidden="false" customHeight="true" outlineLevel="0" collapsed="false">
      <c r="B2" s="2" t="s">
        <v>39</v>
      </c>
    </row>
    <row r="3" customFormat="false" ht="15" hidden="false" customHeight="true" outlineLevel="0" collapsed="false">
      <c r="B3" s="7" t="s">
        <v>40</v>
      </c>
      <c r="C3" s="7"/>
      <c r="D3" s="7"/>
      <c r="E3" s="7"/>
      <c r="F3" s="7"/>
      <c r="G3" s="7"/>
      <c r="H3" s="7"/>
      <c r="I3" s="7"/>
      <c r="J3" s="7"/>
      <c r="K3" s="7"/>
    </row>
    <row r="5" customFormat="false" ht="15" hidden="false" customHeight="true" outlineLevel="0" collapsed="false">
      <c r="B5" s="4" t="s">
        <v>41</v>
      </c>
      <c r="C5" s="8" t="str">
        <f aca="false">'Ops SLA Tracker'!C4</f>
        <v>MMM-YYYY</v>
      </c>
    </row>
    <row r="7" customFormat="false" ht="27.75" hidden="false" customHeight="true" outlineLevel="0" collapsed="false">
      <c r="B7" s="9" t="s">
        <v>42</v>
      </c>
      <c r="C7" s="9" t="s">
        <v>43</v>
      </c>
      <c r="D7" s="9" t="s">
        <v>44</v>
      </c>
      <c r="E7" s="9" t="s">
        <v>45</v>
      </c>
      <c r="F7" s="9" t="s">
        <v>46</v>
      </c>
      <c r="G7" s="9" t="s">
        <v>47</v>
      </c>
      <c r="H7" s="9" t="s">
        <v>48</v>
      </c>
      <c r="I7" s="9" t="s">
        <v>49</v>
      </c>
      <c r="J7" s="9" t="s">
        <v>50</v>
      </c>
      <c r="K7" s="9" t="s">
        <v>51</v>
      </c>
    </row>
    <row r="8" customFormat="false" ht="24" hidden="false" customHeight="true" outlineLevel="0" collapsed="false">
      <c r="B8" s="5" t="s">
        <v>52</v>
      </c>
      <c r="C8" s="5"/>
      <c r="D8" s="5"/>
      <c r="E8" s="5"/>
      <c r="F8" s="5"/>
      <c r="G8" s="5"/>
      <c r="H8" s="5"/>
      <c r="I8" s="5"/>
      <c r="J8" s="5"/>
      <c r="K8" s="5"/>
    </row>
    <row r="9" customFormat="false" ht="24" hidden="false" customHeight="true" outlineLevel="0" collapsed="false">
      <c r="B9" s="10" t="s">
        <v>53</v>
      </c>
      <c r="C9" s="10"/>
      <c r="D9" s="10"/>
      <c r="E9" s="10"/>
      <c r="F9" s="10"/>
      <c r="G9" s="10"/>
      <c r="H9" s="10"/>
      <c r="I9" s="10"/>
      <c r="J9" s="10"/>
      <c r="K9" s="10"/>
    </row>
    <row r="10" customFormat="false" ht="21.75" hidden="false" customHeight="true" outlineLevel="0" collapsed="false">
      <c r="B10" s="11" t="n">
        <v>1</v>
      </c>
      <c r="C10" s="12" t="s">
        <v>54</v>
      </c>
      <c r="D10" s="11" t="s">
        <v>55</v>
      </c>
      <c r="E10" s="11" t="s">
        <v>56</v>
      </c>
      <c r="F10" s="13" t="n">
        <f aca="false">'SLA Tiers'!D5</f>
        <v>0.995</v>
      </c>
      <c r="G10" s="14" t="n">
        <v>0.25</v>
      </c>
      <c r="H10" s="15" t="str">
        <f aca="false">IFERROR(AVERAGEIFS('Ops SLA Tracker'!G7:G37,'Ops SLA Tracker'!$D$7:$D$37,"Live"),"")</f>
        <v/>
      </c>
      <c r="I10" s="13" t="str">
        <f aca="false">IFERROR(IF(H10="","",IF(E10="H",MIN(H10/F10,1.2),IF(AND(E10="L",H10&gt;0),MIN(F10/H10,1.2),""))),"")</f>
        <v/>
      </c>
      <c r="J10" s="16" t="str">
        <f aca="false">IFERROR(IF(I10="","",IF(I10&gt;=1,"Green",IF(I10&gt;=0.9,"Amber","Red"))),"")</f>
        <v/>
      </c>
      <c r="K10" s="17" t="s">
        <v>57</v>
      </c>
    </row>
    <row r="11" customFormat="false" ht="21.75" hidden="false" customHeight="true" outlineLevel="0" collapsed="false">
      <c r="B11" s="11" t="n">
        <v>2</v>
      </c>
      <c r="C11" s="12" t="s">
        <v>58</v>
      </c>
      <c r="D11" s="11" t="s">
        <v>55</v>
      </c>
      <c r="E11" s="11" t="s">
        <v>56</v>
      </c>
      <c r="F11" s="13" t="n">
        <f aca="false">'SLA Tiers'!D6</f>
        <v>0.95</v>
      </c>
      <c r="G11" s="14" t="n">
        <v>0.25</v>
      </c>
      <c r="H11" s="15" t="str">
        <f aca="false">IFERROR(AVERAGEIFS('Ops SLA Tracker'!J7:J37,'Ops SLA Tracker'!$D$7:$D$37,"Live"),"")</f>
        <v/>
      </c>
      <c r="I11" s="13" t="str">
        <f aca="false">IFERROR(IF(H11="","",IF(E11="H",MIN(H11/F11,1.2),IF(AND(E11="L",H11&gt;0),MIN(F11/H11,1.2),""))),"")</f>
        <v/>
      </c>
      <c r="J11" s="16" t="str">
        <f aca="false">IFERROR(IF(I11="","",IF(I11&gt;=1,"Green",IF(I11&gt;=0.9,"Amber","Red"))),"")</f>
        <v/>
      </c>
      <c r="K11" s="17" t="s">
        <v>57</v>
      </c>
    </row>
    <row r="12" customFormat="false" ht="21.75" hidden="false" customHeight="true" outlineLevel="0" collapsed="false">
      <c r="B12" s="11" t="n">
        <v>3</v>
      </c>
      <c r="C12" s="12" t="s">
        <v>59</v>
      </c>
      <c r="D12" s="11" t="s">
        <v>55</v>
      </c>
      <c r="E12" s="11" t="s">
        <v>60</v>
      </c>
      <c r="F12" s="18" t="n">
        <f aca="false">'SLA Tiers'!D7</f>
        <v>2</v>
      </c>
      <c r="G12" s="14" t="n">
        <v>0.15</v>
      </c>
      <c r="H12" s="19" t="n">
        <f aca="false">IFERROR(SUMIFS('Ops SLA Tracker'!M7:M37,'Ops SLA Tracker'!$D$7:$D$37,"Live"),"")</f>
        <v>0</v>
      </c>
      <c r="I12" s="13" t="str">
        <f aca="false">IFERROR(IF(H12="","",IF(E12="H",MIN(H12/F12,1.2),IF(AND(E12="L",H12&gt;0),MIN(F12/H12,1.2),""))),"")</f>
        <v/>
      </c>
      <c r="J12" s="16" t="str">
        <f aca="false">IFERROR(IF(I12="","",IF(I12&gt;=1,"Green",IF(I12&gt;=0.9,"Amber","Red"))),"")</f>
        <v/>
      </c>
      <c r="K12" s="17" t="s">
        <v>61</v>
      </c>
    </row>
    <row r="13" customFormat="false" ht="21.75" hidden="false" customHeight="true" outlineLevel="0" collapsed="false">
      <c r="B13" s="11" t="n">
        <v>4</v>
      </c>
      <c r="C13" s="12" t="s">
        <v>62</v>
      </c>
      <c r="D13" s="11" t="s">
        <v>55</v>
      </c>
      <c r="E13" s="11" t="s">
        <v>60</v>
      </c>
      <c r="F13" s="20" t="n">
        <f aca="false">'SLA Tiers'!D8</f>
        <v>4</v>
      </c>
      <c r="G13" s="14" t="n">
        <v>0.15</v>
      </c>
      <c r="H13" s="21" t="str">
        <f aca="false">IFERROR(AVERAGEIFS('Ops SLA Tracker'!P7:P37,'Ops SLA Tracker'!$D$7:$D$37,"Live"),"")</f>
        <v/>
      </c>
      <c r="I13" s="13" t="str">
        <f aca="false">IFERROR(IF(H13="","",IF(E13="H",MIN(H13/F13,1.2),IF(AND(E13="L",H13&gt;0),MIN(F13/H13,1.2),""))),"")</f>
        <v/>
      </c>
      <c r="J13" s="16" t="str">
        <f aca="false">IFERROR(IF(I13="","",IF(I13&gt;=1,"Green",IF(I13&gt;=0.9,"Amber","Red"))),"")</f>
        <v/>
      </c>
      <c r="K13" s="17" t="s">
        <v>57</v>
      </c>
    </row>
    <row r="14" customFormat="false" ht="21.75" hidden="false" customHeight="true" outlineLevel="0" collapsed="false">
      <c r="B14" s="11" t="n">
        <v>5</v>
      </c>
      <c r="C14" s="12" t="s">
        <v>63</v>
      </c>
      <c r="D14" s="11" t="s">
        <v>55</v>
      </c>
      <c r="E14" s="11" t="s">
        <v>56</v>
      </c>
      <c r="F14" s="13" t="n">
        <f aca="false">'SLA Tiers'!D9</f>
        <v>0.98</v>
      </c>
      <c r="G14" s="14" t="n">
        <v>0.2</v>
      </c>
      <c r="H14" s="15" t="str">
        <f aca="false">IFERROR(AVERAGEIFS('Ops SLA Tracker'!S7:S37,'Ops SLA Tracker'!$D$7:$D$37,"Live"),"")</f>
        <v/>
      </c>
      <c r="I14" s="13" t="str">
        <f aca="false">IFERROR(IF(H14="","",IF(E14="H",MIN(H14/F14,1.2),IF(AND(E14="L",H14&gt;0),MIN(F14/H14,1.2),""))),"")</f>
        <v/>
      </c>
      <c r="J14" s="16" t="str">
        <f aca="false">IFERROR(IF(I14="","",IF(I14&gt;=1,"Green",IF(I14&gt;=0.9,"Amber","Red"))),"")</f>
        <v/>
      </c>
      <c r="K14" s="17" t="s">
        <v>57</v>
      </c>
    </row>
    <row r="15" customFormat="false" ht="21.75" hidden="false" customHeight="true" outlineLevel="0" collapsed="false">
      <c r="B15" s="22"/>
      <c r="C15" s="23" t="s">
        <v>64</v>
      </c>
      <c r="D15" s="22"/>
      <c r="E15" s="22"/>
      <c r="F15" s="22"/>
      <c r="G15" s="22"/>
      <c r="H15" s="22"/>
      <c r="I15" s="24" t="str">
        <f aca="false">IFERROR(SUMPRODUCT(IF(I10:I14="",0,I10:I14),G10:G14)/SUMPRODUCT(IF(I10:I14="",0,1),G10:G14),"")</f>
        <v/>
      </c>
      <c r="J15" s="25" t="str">
        <f aca="false">IFERROR(IF(I15="","",IF(I15&gt;=1,"Green",IF(I15&gt;=0.9,"Amber","Red"))),"")</f>
        <v/>
      </c>
      <c r="K15" s="22"/>
    </row>
    <row r="17" customFormat="false" ht="24" hidden="false" customHeight="true" outlineLevel="0" collapsed="false">
      <c r="B17" s="10" t="s">
        <v>65</v>
      </c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21.75" hidden="false" customHeight="true" outlineLevel="0" collapsed="false">
      <c r="B18" s="11" t="n">
        <v>6</v>
      </c>
      <c r="C18" s="12" t="s">
        <v>66</v>
      </c>
      <c r="D18" s="11" t="s">
        <v>67</v>
      </c>
      <c r="E18" s="11" t="s">
        <v>56</v>
      </c>
      <c r="F18" s="13" t="n">
        <f aca="false">'SLA Tiers'!D10</f>
        <v>0.995</v>
      </c>
      <c r="G18" s="14" t="n">
        <v>0.25</v>
      </c>
      <c r="H18" s="15" t="str">
        <f aca="false">IFERROR(AVERAGEIFS('Ops SLA Tracker'!V7:V37,'Ops SLA Tracker'!$D$7:$D$37,"Live"),"")</f>
        <v/>
      </c>
      <c r="I18" s="13" t="str">
        <f aca="false">IFERROR(IF(H18="","",IF(E18="H",MIN(H18/F18,1.2),IF(AND(E18="L",H18&gt;0),MIN(F18/H18,1.2),""))),"")</f>
        <v/>
      </c>
      <c r="J18" s="16" t="str">
        <f aca="false">IFERROR(IF(I18="","",IF(I18&gt;=1,"Green",IF(I18&gt;=0.9,"Amber","Red"))),"")</f>
        <v/>
      </c>
      <c r="K18" s="17" t="s">
        <v>57</v>
      </c>
    </row>
    <row r="19" customFormat="false" ht="21.75" hidden="false" customHeight="true" outlineLevel="0" collapsed="false">
      <c r="B19" s="11" t="n">
        <v>7</v>
      </c>
      <c r="C19" s="12" t="s">
        <v>68</v>
      </c>
      <c r="D19" s="11" t="s">
        <v>67</v>
      </c>
      <c r="E19" s="11" t="s">
        <v>60</v>
      </c>
      <c r="F19" s="20" t="n">
        <f aca="false">'SLA Tiers'!D11</f>
        <v>5</v>
      </c>
      <c r="G19" s="14" t="n">
        <v>0.15</v>
      </c>
      <c r="H19" s="21" t="str">
        <f aca="false">IFERROR(AVERAGEIFS('Ops SLA Tracker'!Y7:Y37,'Ops SLA Tracker'!$D$7:$D$37,"Live"),"")</f>
        <v/>
      </c>
      <c r="I19" s="13" t="str">
        <f aca="false">IFERROR(IF(H19="","",IF(E19="H",MIN(H19/F19,1.2),IF(AND(E19="L",H19&gt;0),MIN(F19/H19,1.2),""))),"")</f>
        <v/>
      </c>
      <c r="J19" s="16" t="str">
        <f aca="false">IFERROR(IF(I19="","",IF(I19&gt;=1,"Green",IF(I19&gt;=0.9,"Amber","Red"))),"")</f>
        <v/>
      </c>
      <c r="K19" s="17" t="s">
        <v>57</v>
      </c>
    </row>
    <row r="20" customFormat="false" ht="21.75" hidden="false" customHeight="true" outlineLevel="0" collapsed="false">
      <c r="B20" s="11" t="n">
        <v>8</v>
      </c>
      <c r="C20" s="12" t="s">
        <v>69</v>
      </c>
      <c r="D20" s="11" t="s">
        <v>67</v>
      </c>
      <c r="E20" s="11" t="s">
        <v>60</v>
      </c>
      <c r="F20" s="20" t="n">
        <f aca="false">'SLA Tiers'!D12</f>
        <v>8</v>
      </c>
      <c r="G20" s="14" t="n">
        <v>0.2</v>
      </c>
      <c r="H20" s="21" t="str">
        <f aca="false">IFERROR(AVERAGEIFS('Ops SLA Tracker'!AB7:AB37,'Ops SLA Tracker'!$D$7:$D$37,"Live"),"")</f>
        <v/>
      </c>
      <c r="I20" s="13" t="str">
        <f aca="false">IFERROR(IF(H20="","",IF(E20="H",MIN(H20/F20,1.2),IF(AND(E20="L",H20&gt;0),MIN(F20/H20,1.2),""))),"")</f>
        <v/>
      </c>
      <c r="J20" s="16" t="str">
        <f aca="false">IFERROR(IF(I20="","",IF(I20&gt;=1,"Green",IF(I20&gt;=0.9,"Amber","Red"))),"")</f>
        <v/>
      </c>
      <c r="K20" s="17" t="s">
        <v>57</v>
      </c>
    </row>
    <row r="21" customFormat="false" ht="21.75" hidden="false" customHeight="true" outlineLevel="0" collapsed="false">
      <c r="B21" s="11" t="n">
        <v>9</v>
      </c>
      <c r="C21" s="12" t="s">
        <v>70</v>
      </c>
      <c r="D21" s="11" t="s">
        <v>67</v>
      </c>
      <c r="E21" s="11" t="s">
        <v>56</v>
      </c>
      <c r="F21" s="13" t="n">
        <f aca="false">'SLA Tiers'!D13</f>
        <v>0.7</v>
      </c>
      <c r="G21" s="14" t="n">
        <v>0.2</v>
      </c>
      <c r="H21" s="15" t="str">
        <f aca="false">IFERROR(AVERAGEIFS('Ops SLA Tracker'!AE7:AE37,'Ops SLA Tracker'!$D$7:$D$37,"Live"),"")</f>
        <v/>
      </c>
      <c r="I21" s="13" t="str">
        <f aca="false">IFERROR(IF(H21="","",IF(E21="H",MIN(H21/F21,1.2),IF(AND(E21="L",H21&gt;0),MIN(F21/H21,1.2),""))),"")</f>
        <v/>
      </c>
      <c r="J21" s="16" t="str">
        <f aca="false">IFERROR(IF(I21="","",IF(I21&gt;=1,"Green",IF(I21&gt;=0.9,"Amber","Red"))),"")</f>
        <v/>
      </c>
      <c r="K21" s="17" t="s">
        <v>57</v>
      </c>
    </row>
    <row r="22" customFormat="false" ht="21.75" hidden="false" customHeight="true" outlineLevel="0" collapsed="false">
      <c r="B22" s="11" t="n">
        <v>10</v>
      </c>
      <c r="C22" s="12" t="s">
        <v>71</v>
      </c>
      <c r="D22" s="11" t="s">
        <v>67</v>
      </c>
      <c r="E22" s="11" t="s">
        <v>56</v>
      </c>
      <c r="F22" s="20" t="n">
        <f aca="false">'SLA Tiers'!D14</f>
        <v>4</v>
      </c>
      <c r="G22" s="14" t="n">
        <v>0.2</v>
      </c>
      <c r="H22" s="21" t="str">
        <f aca="false">IFERROR(AVERAGEIFS('Ops SLA Tracker'!AH7:AH37,'Ops SLA Tracker'!$D$7:$D$37,"Live"),"")</f>
        <v/>
      </c>
      <c r="I22" s="13" t="str">
        <f aca="false">IFERROR(IF(H22="","",IF(E22="H",MIN(H22/F22,1.2),IF(AND(E22="L",H22&gt;0),MIN(F22/H22,1.2),""))),"")</f>
        <v/>
      </c>
      <c r="J22" s="16" t="str">
        <f aca="false">IFERROR(IF(I22="","",IF(I22&gt;=1,"Green",IF(I22&gt;=0.9,"Amber","Red"))),"")</f>
        <v/>
      </c>
      <c r="K22" s="17" t="s">
        <v>57</v>
      </c>
    </row>
    <row r="23" customFormat="false" ht="21.75" hidden="false" customHeight="true" outlineLevel="0" collapsed="false">
      <c r="B23" s="22"/>
      <c r="C23" s="23" t="s">
        <v>72</v>
      </c>
      <c r="D23" s="22"/>
      <c r="E23" s="22"/>
      <c r="F23" s="22"/>
      <c r="G23" s="22"/>
      <c r="H23" s="22"/>
      <c r="I23" s="24" t="str">
        <f aca="false">IFERROR(SUMPRODUCT(IF(I18:I22="",0,I18:I22),G18:G22)/SUMPRODUCT(IF(I18:I22="",0,1),G18:G22),"")</f>
        <v/>
      </c>
      <c r="J23" s="25" t="str">
        <f aca="false">IFERROR(IF(I23="","",IF(I23&gt;=1,"Green",IF(I23&gt;=0.9,"Amber","Red"))),"")</f>
        <v/>
      </c>
      <c r="K23" s="22"/>
    </row>
    <row r="26" customFormat="false" ht="24" hidden="false" customHeight="true" outlineLevel="0" collapsed="false">
      <c r="B26" s="5" t="s">
        <v>73</v>
      </c>
      <c r="C26" s="5"/>
      <c r="D26" s="5"/>
      <c r="E26" s="5"/>
      <c r="F26" s="5"/>
      <c r="G26" s="5"/>
      <c r="H26" s="5"/>
      <c r="I26" s="5"/>
      <c r="J26" s="5"/>
      <c r="K26" s="5"/>
    </row>
    <row r="27" customFormat="false" ht="24" hidden="false" customHeight="true" outlineLevel="0" collapsed="false">
      <c r="B27" s="10" t="s">
        <v>74</v>
      </c>
      <c r="C27" s="10"/>
      <c r="D27" s="10"/>
      <c r="E27" s="10"/>
      <c r="F27" s="10"/>
      <c r="G27" s="10"/>
      <c r="H27" s="10"/>
      <c r="I27" s="10"/>
      <c r="J27" s="10"/>
      <c r="K27" s="10"/>
    </row>
    <row r="28" customFormat="false" ht="21.75" hidden="false" customHeight="true" outlineLevel="0" collapsed="false">
      <c r="B28" s="11" t="n">
        <v>11</v>
      </c>
      <c r="C28" s="12" t="s">
        <v>75</v>
      </c>
      <c r="D28" s="11" t="s">
        <v>76</v>
      </c>
      <c r="E28" s="11" t="s">
        <v>56</v>
      </c>
      <c r="F28" s="13" t="n">
        <v>0.9</v>
      </c>
      <c r="G28" s="14" t="n">
        <v>0.3</v>
      </c>
      <c r="H28" s="15" t="str">
        <f aca="false">'Delivery Tracker'!T28</f>
        <v/>
      </c>
      <c r="I28" s="13" t="str">
        <f aca="false">IFERROR(IF(H28="","",IF(E28="H",MIN(H28/F28,1.2),IF(AND(E28="L",H28&gt;0),MIN(F28/H28,1.2),""))),"")</f>
        <v/>
      </c>
      <c r="J28" s="16" t="str">
        <f aca="false">IFERROR(IF(I28="","",IF(I28&gt;=1,"Green",IF(I28&gt;=0.9,"Amber","Red"))),"")</f>
        <v/>
      </c>
      <c r="K28" s="17" t="s">
        <v>77</v>
      </c>
    </row>
    <row r="29" customFormat="false" ht="21.75" hidden="false" customHeight="true" outlineLevel="0" collapsed="false">
      <c r="B29" s="11" t="n">
        <v>12</v>
      </c>
      <c r="C29" s="12" t="s">
        <v>78</v>
      </c>
      <c r="D29" s="11" t="s">
        <v>76</v>
      </c>
      <c r="E29" s="11" t="s">
        <v>60</v>
      </c>
      <c r="F29" s="20" t="n">
        <v>45</v>
      </c>
      <c r="G29" s="14" t="n">
        <v>0.2</v>
      </c>
      <c r="H29" s="21" t="str">
        <f aca="false">'Delivery Tracker'!T29</f>
        <v/>
      </c>
      <c r="I29" s="13" t="str">
        <f aca="false">IFERROR(IF(H29="","",IF(E29="H",MIN(H29/F29,1.2),IF(AND(E29="L",H29&gt;0),MIN(F29/H29,1.2),""))),"")</f>
        <v/>
      </c>
      <c r="J29" s="16" t="str">
        <f aca="false">IFERROR(IF(I29="","",IF(I29&gt;=1,"Green",IF(I29&gt;=0.9,"Amber","Red"))),"")</f>
        <v/>
      </c>
      <c r="K29" s="17" t="s">
        <v>77</v>
      </c>
    </row>
    <row r="30" customFormat="false" ht="21.75" hidden="false" customHeight="true" outlineLevel="0" collapsed="false">
      <c r="B30" s="11" t="n">
        <v>13</v>
      </c>
      <c r="C30" s="12" t="s">
        <v>79</v>
      </c>
      <c r="D30" s="11" t="s">
        <v>76</v>
      </c>
      <c r="E30" s="11" t="s">
        <v>56</v>
      </c>
      <c r="F30" s="13" t="n">
        <v>0.85</v>
      </c>
      <c r="G30" s="14" t="n">
        <v>0.15</v>
      </c>
      <c r="H30" s="26"/>
      <c r="I30" s="13" t="str">
        <f aca="false">IFERROR(IF(H30="","",IF(E30="H",MIN(H30/F30,1.2),IF(AND(E30="L",H30&gt;0),MIN(F30/H30,1.2),""))),"")</f>
        <v/>
      </c>
      <c r="J30" s="16" t="str">
        <f aca="false">IFERROR(IF(I30="","",IF(I30&gt;=1,"Green",IF(I30&gt;=0.9,"Amber","Red"))),"")</f>
        <v/>
      </c>
      <c r="K30" s="17" t="s">
        <v>80</v>
      </c>
    </row>
    <row r="31" customFormat="false" ht="21.75" hidden="false" customHeight="true" outlineLevel="0" collapsed="false">
      <c r="B31" s="11" t="n">
        <v>14</v>
      </c>
      <c r="C31" s="12" t="s">
        <v>81</v>
      </c>
      <c r="D31" s="11" t="s">
        <v>76</v>
      </c>
      <c r="E31" s="11" t="s">
        <v>60</v>
      </c>
      <c r="F31" s="18" t="n">
        <v>2</v>
      </c>
      <c r="G31" s="14" t="n">
        <v>0.15</v>
      </c>
      <c r="H31" s="27"/>
      <c r="I31" s="13" t="str">
        <f aca="false">IFERROR(IF(H31="","",IF(E31="H",MIN(H31/F31,1.2),IF(AND(E31="L",H31&gt;0),MIN(F31/H31,1.2),""))),"")</f>
        <v/>
      </c>
      <c r="J31" s="16" t="str">
        <f aca="false">IFERROR(IF(I31="","",IF(I31&gt;=1,"Green",IF(I31&gt;=0.9,"Amber","Red"))),"")</f>
        <v/>
      </c>
      <c r="K31" s="17" t="s">
        <v>80</v>
      </c>
    </row>
    <row r="32" customFormat="false" ht="21.75" hidden="false" customHeight="true" outlineLevel="0" collapsed="false">
      <c r="B32" s="11" t="n">
        <v>15</v>
      </c>
      <c r="C32" s="12" t="s">
        <v>82</v>
      </c>
      <c r="D32" s="11" t="s">
        <v>76</v>
      </c>
      <c r="E32" s="11" t="s">
        <v>56</v>
      </c>
      <c r="F32" s="13" t="n">
        <v>0.8</v>
      </c>
      <c r="G32" s="14" t="n">
        <v>0.2</v>
      </c>
      <c r="H32" s="15" t="n">
        <f aca="false">'Delivery Tracker'!T35</f>
        <v>0</v>
      </c>
      <c r="I32" s="13" t="n">
        <f aca="false">IFERROR(IF(H32="","",IF(E32="H",MIN(H32/F32,1.2),IF(AND(E32="L",H32&gt;0),MIN(F32/H32,1.2),""))),"")</f>
        <v>0</v>
      </c>
      <c r="J32" s="16" t="str">
        <f aca="false">IFERROR(IF(I32="","",IF(I32&gt;=1,"Green",IF(I32&gt;=0.9,"Amber","Red"))),"")</f>
        <v>Red</v>
      </c>
      <c r="K32" s="17" t="s">
        <v>77</v>
      </c>
    </row>
    <row r="33" customFormat="false" ht="21.75" hidden="false" customHeight="true" outlineLevel="0" collapsed="false">
      <c r="B33" s="22"/>
      <c r="C33" s="23" t="s">
        <v>83</v>
      </c>
      <c r="D33" s="22"/>
      <c r="E33" s="22"/>
      <c r="F33" s="22"/>
      <c r="G33" s="22"/>
      <c r="H33" s="22"/>
      <c r="I33" s="24" t="n">
        <f aca="false">IFERROR(SUMPRODUCT(IF(I28:I32="",0,I28:I32),G28:G32)/SUMPRODUCT(IF(I28:I32="",0,1),G28:G32),"")</f>
        <v>0</v>
      </c>
      <c r="J33" s="25" t="str">
        <f aca="false">IFERROR(IF(I33="","",IF(I33&gt;=1,"Green",IF(I33&gt;=0.9,"Amber","Red"))),"")</f>
        <v>Red</v>
      </c>
      <c r="K33" s="22"/>
    </row>
    <row r="35" customFormat="false" ht="24" hidden="false" customHeight="true" outlineLevel="0" collapsed="false">
      <c r="B35" s="10" t="s">
        <v>84</v>
      </c>
      <c r="C35" s="10"/>
      <c r="D35" s="10"/>
      <c r="E35" s="10"/>
      <c r="F35" s="10"/>
      <c r="G35" s="10"/>
      <c r="H35" s="10"/>
      <c r="I35" s="10"/>
      <c r="J35" s="10"/>
      <c r="K35" s="10"/>
    </row>
    <row r="36" customFormat="false" ht="21.75" hidden="false" customHeight="true" outlineLevel="0" collapsed="false">
      <c r="B36" s="11" t="n">
        <v>16</v>
      </c>
      <c r="C36" s="12" t="s">
        <v>85</v>
      </c>
      <c r="D36" s="11" t="s">
        <v>55</v>
      </c>
      <c r="E36" s="11" t="s">
        <v>56</v>
      </c>
      <c r="F36" s="13" t="n">
        <v>0.95</v>
      </c>
      <c r="G36" s="14" t="n">
        <v>0.35</v>
      </c>
      <c r="H36" s="26"/>
      <c r="I36" s="13" t="str">
        <f aca="false">IFERROR(IF(H36="","",IF(E36="H",MIN(H36/F36,1.2),IF(AND(E36="L",H36&gt;0),MIN(F36/H36,1.2),""))),"")</f>
        <v/>
      </c>
      <c r="J36" s="16" t="str">
        <f aca="false">IFERROR(IF(I36="","",IF(I36&gt;=1,"Green",IF(I36&gt;=0.9,"Amber","Red"))),"")</f>
        <v/>
      </c>
      <c r="K36" s="17" t="s">
        <v>86</v>
      </c>
    </row>
    <row r="37" customFormat="false" ht="21.75" hidden="false" customHeight="true" outlineLevel="0" collapsed="false">
      <c r="B37" s="11" t="n">
        <v>17</v>
      </c>
      <c r="C37" s="12" t="s">
        <v>87</v>
      </c>
      <c r="D37" s="11" t="s">
        <v>55</v>
      </c>
      <c r="E37" s="11" t="s">
        <v>56</v>
      </c>
      <c r="F37" s="13" t="n">
        <v>0.9</v>
      </c>
      <c r="G37" s="14" t="n">
        <v>0.35</v>
      </c>
      <c r="H37" s="15" t="n">
        <f aca="false">'Delivery Tracker'!T33</f>
        <v>0</v>
      </c>
      <c r="I37" s="13" t="n">
        <f aca="false">IFERROR(IF(H37="","",IF(E37="H",MIN(H37/F37,1.2),IF(AND(E37="L",H37&gt;0),MIN(F37/H37,1.2),""))),"")</f>
        <v>0</v>
      </c>
      <c r="J37" s="16" t="str">
        <f aca="false">IFERROR(IF(I37="","",IF(I37&gt;=1,"Green",IF(I37&gt;=0.9,"Amber","Red"))),"")</f>
        <v>Red</v>
      </c>
      <c r="K37" s="17" t="s">
        <v>77</v>
      </c>
    </row>
    <row r="38" customFormat="false" ht="21.75" hidden="false" customHeight="true" outlineLevel="0" collapsed="false">
      <c r="B38" s="11" t="n">
        <v>18</v>
      </c>
      <c r="C38" s="12" t="s">
        <v>88</v>
      </c>
      <c r="D38" s="11" t="s">
        <v>55</v>
      </c>
      <c r="E38" s="11" t="s">
        <v>56</v>
      </c>
      <c r="F38" s="13" t="n">
        <v>0.95</v>
      </c>
      <c r="G38" s="14" t="n">
        <v>0.3</v>
      </c>
      <c r="H38" s="26"/>
      <c r="I38" s="13" t="str">
        <f aca="false">IFERROR(IF(H38="","",IF(E38="H",MIN(H38/F38,1.2),IF(AND(E38="L",H38&gt;0),MIN(F38/H38,1.2),""))),"")</f>
        <v/>
      </c>
      <c r="J38" s="16" t="str">
        <f aca="false">IFERROR(IF(I38="","",IF(I38&gt;=1,"Green",IF(I38&gt;=0.9,"Amber","Red"))),"")</f>
        <v/>
      </c>
      <c r="K38" s="17" t="s">
        <v>89</v>
      </c>
    </row>
    <row r="39" customFormat="false" ht="21.75" hidden="false" customHeight="true" outlineLevel="0" collapsed="false">
      <c r="B39" s="22"/>
      <c r="C39" s="23" t="s">
        <v>90</v>
      </c>
      <c r="D39" s="22"/>
      <c r="E39" s="22"/>
      <c r="F39" s="22"/>
      <c r="G39" s="22"/>
      <c r="H39" s="22"/>
      <c r="I39" s="24" t="n">
        <f aca="false">IFERROR(SUMPRODUCT(IF(I36:I38="",0,I36:I38),G36:G38)/SUMPRODUCT(IF(I36:I38="",0,1),G36:G38),"")</f>
        <v>0</v>
      </c>
      <c r="J39" s="25" t="str">
        <f aca="false">IFERROR(IF(I39="","",IF(I39&gt;=1,"Green",IF(I39&gt;=0.9,"Amber","Red"))),"")</f>
        <v>Red</v>
      </c>
      <c r="K39" s="22"/>
    </row>
    <row r="41" customFormat="false" ht="24" hidden="false" customHeight="true" outlineLevel="0" collapsed="false">
      <c r="B41" s="10" t="s">
        <v>91</v>
      </c>
      <c r="C41" s="10"/>
      <c r="D41" s="10"/>
      <c r="E41" s="10"/>
      <c r="F41" s="10"/>
      <c r="G41" s="10"/>
      <c r="H41" s="10"/>
      <c r="I41" s="10"/>
      <c r="J41" s="10"/>
      <c r="K41" s="10"/>
    </row>
    <row r="42" customFormat="false" ht="21.75" hidden="false" customHeight="true" outlineLevel="0" collapsed="false">
      <c r="B42" s="11" t="n">
        <v>19</v>
      </c>
      <c r="C42" s="12" t="s">
        <v>92</v>
      </c>
      <c r="D42" s="11" t="s">
        <v>67</v>
      </c>
      <c r="E42" s="11" t="s">
        <v>56</v>
      </c>
      <c r="F42" s="13" t="n">
        <v>0.9</v>
      </c>
      <c r="G42" s="14" t="n">
        <v>0.4</v>
      </c>
      <c r="H42" s="15" t="n">
        <f aca="false">'Delivery Tracker'!T34</f>
        <v>0</v>
      </c>
      <c r="I42" s="13" t="n">
        <f aca="false">IFERROR(IF(H42="","",IF(E42="H",MIN(H42/F42,1.2),IF(AND(E42="L",H42&gt;0),MIN(F42/H42,1.2),""))),"")</f>
        <v>0</v>
      </c>
      <c r="J42" s="16" t="str">
        <f aca="false">IFERROR(IF(I42="","",IF(I42&gt;=1,"Green",IF(I42&gt;=0.9,"Amber","Red"))),"")</f>
        <v>Red</v>
      </c>
      <c r="K42" s="17" t="s">
        <v>77</v>
      </c>
    </row>
    <row r="43" customFormat="false" ht="21.75" hidden="false" customHeight="true" outlineLevel="0" collapsed="false">
      <c r="B43" s="11" t="n">
        <v>20</v>
      </c>
      <c r="C43" s="12" t="s">
        <v>93</v>
      </c>
      <c r="D43" s="11" t="s">
        <v>67</v>
      </c>
      <c r="E43" s="11" t="s">
        <v>56</v>
      </c>
      <c r="F43" s="13" t="n">
        <v>0.8</v>
      </c>
      <c r="G43" s="14" t="n">
        <v>0.3</v>
      </c>
      <c r="H43" s="15" t="n">
        <f aca="false">'Delivery Tracker'!T31</f>
        <v>0</v>
      </c>
      <c r="I43" s="13" t="n">
        <f aca="false">IFERROR(IF(H43="","",IF(E43="H",MIN(H43/F43,1.2),IF(AND(E43="L",H43&gt;0),MIN(F43/H43,1.2),""))),"")</f>
        <v>0</v>
      </c>
      <c r="J43" s="16" t="str">
        <f aca="false">IFERROR(IF(I43="","",IF(I43&gt;=1,"Green",IF(I43&gt;=0.9,"Amber","Red"))),"")</f>
        <v>Red</v>
      </c>
      <c r="K43" s="17" t="s">
        <v>77</v>
      </c>
    </row>
    <row r="44" customFormat="false" ht="21.75" hidden="false" customHeight="true" outlineLevel="0" collapsed="false">
      <c r="B44" s="11" t="n">
        <v>21</v>
      </c>
      <c r="C44" s="12" t="s">
        <v>94</v>
      </c>
      <c r="D44" s="11" t="s">
        <v>67</v>
      </c>
      <c r="E44" s="11" t="s">
        <v>60</v>
      </c>
      <c r="F44" s="20" t="n">
        <v>5</v>
      </c>
      <c r="G44" s="14" t="n">
        <v>0.3</v>
      </c>
      <c r="H44" s="21" t="n">
        <f aca="false">'Delivery Tracker'!T32</f>
        <v>9.22222222222222</v>
      </c>
      <c r="I44" s="13" t="n">
        <f aca="false">IFERROR(IF(H44="","",IF(E44="H",MIN(H44/F44,1.2),IF(AND(E44="L",H44&gt;0),MIN(F44/H44,1.2),""))),"")</f>
        <v>0.542168674698795</v>
      </c>
      <c r="J44" s="16" t="str">
        <f aca="false">IFERROR(IF(I44="","",IF(I44&gt;=1,"Green",IF(I44&gt;=0.9,"Amber","Red"))),"")</f>
        <v>Red</v>
      </c>
      <c r="K44" s="17" t="s">
        <v>77</v>
      </c>
    </row>
    <row r="45" customFormat="false" ht="21.75" hidden="false" customHeight="true" outlineLevel="0" collapsed="false">
      <c r="B45" s="22"/>
      <c r="C45" s="23" t="s">
        <v>95</v>
      </c>
      <c r="D45" s="22"/>
      <c r="E45" s="22"/>
      <c r="F45" s="22"/>
      <c r="G45" s="22"/>
      <c r="H45" s="22"/>
      <c r="I45" s="24" t="n">
        <f aca="false">IFERROR(SUMPRODUCT(IF(I42:I44="",0,I42:I44),G42:G44)/SUMPRODUCT(IF(I42:I44="",0,1),G42:G44),"")</f>
        <v>0.162650602409639</v>
      </c>
      <c r="J45" s="25" t="str">
        <f aca="false">IFERROR(IF(I45="","",IF(I45&gt;=1,"Green",IF(I45&gt;=0.9,"Amber","Red"))),"")</f>
        <v>Red</v>
      </c>
      <c r="K45" s="22"/>
    </row>
    <row r="48" customFormat="false" ht="24" hidden="false" customHeight="true" outlineLevel="0" collapsed="false">
      <c r="B48" s="28" t="s">
        <v>96</v>
      </c>
      <c r="C48" s="28"/>
      <c r="D48" s="28"/>
      <c r="E48" s="28"/>
      <c r="F48" s="28"/>
      <c r="G48" s="28"/>
      <c r="H48" s="28"/>
      <c r="I48" s="28"/>
      <c r="J48" s="28"/>
      <c r="K48" s="28"/>
    </row>
    <row r="49" customFormat="false" ht="27.75" hidden="false" customHeight="true" outlineLevel="0" collapsed="false">
      <c r="B49" s="29"/>
      <c r="C49" s="30" t="s">
        <v>97</v>
      </c>
      <c r="D49" s="29"/>
      <c r="E49" s="29"/>
      <c r="F49" s="29"/>
      <c r="G49" s="29"/>
      <c r="H49" s="29"/>
      <c r="I49" s="31" t="str">
        <f aca="false">IFERROR(I14*0.6 + I38*0.3 + I32*0.1,"")</f>
        <v/>
      </c>
      <c r="J49" s="32" t="str">
        <f aca="false">IFERROR(IF(I49="","",IF(I49&gt;=1,"Green",IF(I49&gt;=0.9,"Amber","Red"))),"")</f>
        <v/>
      </c>
      <c r="K49" s="29"/>
    </row>
    <row r="50" customFormat="false" ht="27.75" hidden="false" customHeight="true" outlineLevel="0" collapsed="false">
      <c r="B50" s="29"/>
      <c r="C50" s="30" t="s">
        <v>98</v>
      </c>
      <c r="D50" s="29"/>
      <c r="E50" s="29"/>
      <c r="F50" s="29"/>
      <c r="G50" s="29"/>
      <c r="H50" s="29"/>
      <c r="I50" s="31" t="str">
        <f aca="false">IFERROR(I22*0.6 + I44*0.3 + I32*0.1,"")</f>
        <v/>
      </c>
      <c r="J50" s="32" t="str">
        <f aca="false">IFERROR(IF(I50="","",IF(I50&gt;=1,"Green",IF(I50&gt;=0.9,"Amber","Red"))),"")</f>
        <v/>
      </c>
      <c r="K50" s="29"/>
    </row>
  </sheetData>
  <mergeCells count="9">
    <mergeCell ref="B3:K3"/>
    <mergeCell ref="B8:K8"/>
    <mergeCell ref="B9:K9"/>
    <mergeCell ref="B17:K17"/>
    <mergeCell ref="B26:K26"/>
    <mergeCell ref="B27:K27"/>
    <mergeCell ref="B35:K35"/>
    <mergeCell ref="B41:K41"/>
    <mergeCell ref="B48:K48"/>
  </mergeCells>
  <conditionalFormatting sqref="J8:J50">
    <cfRule type="expression" priority="2" aboveAverage="0" equalAverage="0" bottom="0" percent="0" rank="0" text="" dxfId="0">
      <formula>$J8="Green"</formula>
    </cfRule>
    <cfRule type="expression" priority="3" aboveAverage="0" equalAverage="0" bottom="0" percent="0" rank="0" text="" dxfId="1">
      <formula>$J8="Amber"</formula>
    </cfRule>
    <cfRule type="expression" priority="4" aboveAverage="0" equalAverage="0" bottom="0" percent="0" rank="0" text="" dxfId="2">
      <formula>$J8="Red"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2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7"/>
    <col collapsed="false" customWidth="true" hidden="false" outlineLevel="0" max="8" min="7" style="1" width="9"/>
    <col collapsed="false" customWidth="true" hidden="false" outlineLevel="0" max="9" min="9" style="1" width="18"/>
    <col collapsed="false" customWidth="true" hidden="false" outlineLevel="0" max="10" min="10" style="1" width="11"/>
    <col collapsed="false" customWidth="true" hidden="false" outlineLevel="0" max="11" min="11" style="1" width="17"/>
    <col collapsed="false" customWidth="true" hidden="false" outlineLevel="0" max="15" min="12" style="1" width="18"/>
    <col collapsed="false" customWidth="true" hidden="false" outlineLevel="0" max="16" min="16" style="1" width="22"/>
    <col collapsed="false" customWidth="true" hidden="false" outlineLevel="0" max="17" min="17" style="1" width="30"/>
    <col collapsed="false" customWidth="true" hidden="false" outlineLevel="0" max="18" min="18" style="1" width="32"/>
    <col collapsed="false" customWidth="true" hidden="false" outlineLevel="0" max="19" min="19" style="1" width="13"/>
    <col collapsed="false" customWidth="true" hidden="false" outlineLevel="0" max="20" min="20" style="1" width="24"/>
  </cols>
  <sheetData>
    <row r="2" customFormat="false" ht="27.75" hidden="false" customHeight="true" outlineLevel="0" collapsed="false">
      <c r="B2" s="33" t="s">
        <v>99</v>
      </c>
    </row>
    <row r="3" customFormat="false" ht="30" hidden="false" customHeight="true" outlineLevel="0" collapsed="false">
      <c r="B3" s="34" t="s">
        <v>100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5" customFormat="false" ht="42" hidden="false" customHeight="true" outlineLevel="0" collapsed="false"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116</v>
      </c>
      <c r="R5" s="9" t="s">
        <v>117</v>
      </c>
      <c r="S5" s="9" t="s">
        <v>118</v>
      </c>
      <c r="T5" s="9" t="s">
        <v>119</v>
      </c>
    </row>
    <row r="6" customFormat="false" ht="36" hidden="false" customHeight="true" outlineLevel="0" collapsed="false">
      <c r="B6" s="35" t="n">
        <v>1</v>
      </c>
      <c r="C6" s="36" t="s">
        <v>120</v>
      </c>
      <c r="D6" s="36" t="s">
        <v>121</v>
      </c>
      <c r="E6" s="35" t="s">
        <v>122</v>
      </c>
      <c r="F6" s="36" t="s">
        <v>123</v>
      </c>
      <c r="G6" s="35" t="s">
        <v>55</v>
      </c>
      <c r="H6" s="35" t="s">
        <v>67</v>
      </c>
      <c r="I6" s="36" t="s">
        <v>124</v>
      </c>
      <c r="J6" s="36" t="s">
        <v>125</v>
      </c>
      <c r="K6" s="36" t="s">
        <v>126</v>
      </c>
      <c r="L6" s="36"/>
      <c r="M6" s="36"/>
      <c r="N6" s="36"/>
      <c r="O6" s="36" t="s">
        <v>127</v>
      </c>
      <c r="P6" s="36"/>
      <c r="Q6" s="37" t="s">
        <v>128</v>
      </c>
      <c r="R6" s="37" t="s">
        <v>129</v>
      </c>
      <c r="S6" s="38" t="s">
        <v>130</v>
      </c>
      <c r="T6" s="36" t="s">
        <v>131</v>
      </c>
    </row>
    <row r="7" customFormat="false" ht="36" hidden="false" customHeight="true" outlineLevel="0" collapsed="false">
      <c r="B7" s="35" t="n">
        <v>2</v>
      </c>
      <c r="C7" s="36" t="s">
        <v>132</v>
      </c>
      <c r="D7" s="36" t="s">
        <v>121</v>
      </c>
      <c r="E7" s="35" t="s">
        <v>122</v>
      </c>
      <c r="F7" s="36" t="s">
        <v>133</v>
      </c>
      <c r="G7" s="35" t="s">
        <v>55</v>
      </c>
      <c r="H7" s="35" t="s">
        <v>67</v>
      </c>
      <c r="I7" s="36" t="s">
        <v>124</v>
      </c>
      <c r="J7" s="36" t="s">
        <v>125</v>
      </c>
      <c r="K7" s="36" t="s">
        <v>134</v>
      </c>
      <c r="L7" s="36"/>
      <c r="M7" s="36"/>
      <c r="N7" s="36"/>
      <c r="O7" s="36" t="s">
        <v>135</v>
      </c>
      <c r="P7" s="36"/>
      <c r="Q7" s="37" t="s">
        <v>128</v>
      </c>
      <c r="R7" s="37" t="s">
        <v>129</v>
      </c>
      <c r="S7" s="38" t="s">
        <v>130</v>
      </c>
      <c r="T7" s="36"/>
    </row>
    <row r="8" customFormat="false" ht="36" hidden="false" customHeight="true" outlineLevel="0" collapsed="false">
      <c r="B8" s="35" t="n">
        <v>3</v>
      </c>
      <c r="C8" s="36" t="s">
        <v>136</v>
      </c>
      <c r="D8" s="36" t="s">
        <v>121</v>
      </c>
      <c r="E8" s="35" t="s">
        <v>122</v>
      </c>
      <c r="F8" s="36" t="s">
        <v>133</v>
      </c>
      <c r="G8" s="35" t="s">
        <v>55</v>
      </c>
      <c r="H8" s="35" t="s">
        <v>67</v>
      </c>
      <c r="I8" s="36" t="s">
        <v>124</v>
      </c>
      <c r="J8" s="36" t="s">
        <v>125</v>
      </c>
      <c r="K8" s="36" t="s">
        <v>134</v>
      </c>
      <c r="L8" s="36"/>
      <c r="M8" s="36"/>
      <c r="N8" s="36"/>
      <c r="O8" s="36" t="s">
        <v>137</v>
      </c>
      <c r="P8" s="36"/>
      <c r="Q8" s="37" t="s">
        <v>128</v>
      </c>
      <c r="R8" s="37" t="s">
        <v>129</v>
      </c>
      <c r="S8" s="38" t="s">
        <v>130</v>
      </c>
      <c r="T8" s="36"/>
    </row>
    <row r="9" customFormat="false" ht="36" hidden="false" customHeight="true" outlineLevel="0" collapsed="false">
      <c r="B9" s="35" t="n">
        <v>4</v>
      </c>
      <c r="C9" s="36" t="s">
        <v>138</v>
      </c>
      <c r="D9" s="36" t="s">
        <v>121</v>
      </c>
      <c r="E9" s="35" t="s">
        <v>122</v>
      </c>
      <c r="F9" s="36" t="s">
        <v>123</v>
      </c>
      <c r="G9" s="35" t="s">
        <v>55</v>
      </c>
      <c r="H9" s="35" t="s">
        <v>67</v>
      </c>
      <c r="I9" s="36" t="s">
        <v>124</v>
      </c>
      <c r="J9" s="36" t="s">
        <v>139</v>
      </c>
      <c r="K9" s="36" t="s">
        <v>140</v>
      </c>
      <c r="L9" s="36"/>
      <c r="M9" s="36"/>
      <c r="N9" s="36"/>
      <c r="O9" s="36" t="s">
        <v>141</v>
      </c>
      <c r="P9" s="36"/>
      <c r="Q9" s="37" t="s">
        <v>128</v>
      </c>
      <c r="R9" s="37" t="s">
        <v>129</v>
      </c>
      <c r="S9" s="38" t="s">
        <v>130</v>
      </c>
      <c r="T9" s="36" t="s">
        <v>142</v>
      </c>
    </row>
    <row r="10" customFormat="false" ht="36" hidden="false" customHeight="true" outlineLevel="0" collapsed="false">
      <c r="B10" s="35" t="n">
        <v>5</v>
      </c>
      <c r="C10" s="36" t="s">
        <v>143</v>
      </c>
      <c r="D10" s="36" t="s">
        <v>121</v>
      </c>
      <c r="E10" s="35" t="s">
        <v>122</v>
      </c>
      <c r="F10" s="36" t="s">
        <v>133</v>
      </c>
      <c r="G10" s="35" t="s">
        <v>55</v>
      </c>
      <c r="H10" s="35" t="s">
        <v>67</v>
      </c>
      <c r="I10" s="36" t="s">
        <v>124</v>
      </c>
      <c r="J10" s="36" t="s">
        <v>139</v>
      </c>
      <c r="K10" s="36" t="s">
        <v>140</v>
      </c>
      <c r="L10" s="36"/>
      <c r="M10" s="36"/>
      <c r="N10" s="36"/>
      <c r="O10" s="36" t="s">
        <v>144</v>
      </c>
      <c r="P10" s="36"/>
      <c r="Q10" s="37" t="s">
        <v>128</v>
      </c>
      <c r="R10" s="37" t="s">
        <v>129</v>
      </c>
      <c r="S10" s="38" t="s">
        <v>130</v>
      </c>
      <c r="T10" s="36"/>
    </row>
    <row r="11" customFormat="false" ht="36" hidden="false" customHeight="true" outlineLevel="0" collapsed="false">
      <c r="B11" s="35" t="n">
        <v>6</v>
      </c>
      <c r="C11" s="36" t="s">
        <v>145</v>
      </c>
      <c r="D11" s="36" t="s">
        <v>146</v>
      </c>
      <c r="E11" s="35" t="s">
        <v>122</v>
      </c>
      <c r="F11" s="36" t="s">
        <v>123</v>
      </c>
      <c r="G11" s="35" t="s">
        <v>55</v>
      </c>
      <c r="H11" s="35" t="s">
        <v>67</v>
      </c>
      <c r="I11" s="36" t="s">
        <v>147</v>
      </c>
      <c r="J11" s="36" t="s">
        <v>125</v>
      </c>
      <c r="K11" s="36" t="s">
        <v>148</v>
      </c>
      <c r="L11" s="36"/>
      <c r="M11" s="36"/>
      <c r="N11" s="36"/>
      <c r="O11" s="36" t="s">
        <v>149</v>
      </c>
      <c r="P11" s="36"/>
      <c r="Q11" s="37" t="s">
        <v>128</v>
      </c>
      <c r="R11" s="37" t="s">
        <v>129</v>
      </c>
      <c r="S11" s="38" t="s">
        <v>150</v>
      </c>
      <c r="T11" s="36" t="s">
        <v>151</v>
      </c>
    </row>
    <row r="12" customFormat="false" ht="36" hidden="false" customHeight="true" outlineLevel="0" collapsed="false">
      <c r="B12" s="35" t="n">
        <v>7</v>
      </c>
      <c r="C12" s="36" t="s">
        <v>152</v>
      </c>
      <c r="D12" s="36" t="s">
        <v>146</v>
      </c>
      <c r="E12" s="35" t="s">
        <v>122</v>
      </c>
      <c r="F12" s="36" t="s">
        <v>133</v>
      </c>
      <c r="G12" s="35" t="s">
        <v>55</v>
      </c>
      <c r="H12" s="35" t="s">
        <v>67</v>
      </c>
      <c r="I12" s="36" t="s">
        <v>147</v>
      </c>
      <c r="J12" s="36" t="s">
        <v>153</v>
      </c>
      <c r="K12" s="36" t="s">
        <v>154</v>
      </c>
      <c r="L12" s="36"/>
      <c r="M12" s="36"/>
      <c r="N12" s="36"/>
      <c r="O12" s="36" t="s">
        <v>155</v>
      </c>
      <c r="P12" s="36"/>
      <c r="Q12" s="37" t="s">
        <v>128</v>
      </c>
      <c r="R12" s="37" t="s">
        <v>129</v>
      </c>
      <c r="S12" s="38" t="s">
        <v>130</v>
      </c>
      <c r="T12" s="36"/>
    </row>
    <row r="13" customFormat="false" ht="36" hidden="false" customHeight="true" outlineLevel="0" collapsed="false">
      <c r="B13" s="35" t="n">
        <v>8</v>
      </c>
      <c r="C13" s="36" t="s">
        <v>156</v>
      </c>
      <c r="D13" s="36" t="s">
        <v>146</v>
      </c>
      <c r="E13" s="35" t="s">
        <v>122</v>
      </c>
      <c r="F13" s="36" t="s">
        <v>123</v>
      </c>
      <c r="G13" s="35" t="s">
        <v>55</v>
      </c>
      <c r="H13" s="35" t="s">
        <v>67</v>
      </c>
      <c r="I13" s="36" t="s">
        <v>124</v>
      </c>
      <c r="J13" s="36" t="s">
        <v>139</v>
      </c>
      <c r="K13" s="36" t="s">
        <v>140</v>
      </c>
      <c r="L13" s="36"/>
      <c r="M13" s="36"/>
      <c r="N13" s="36"/>
      <c r="O13" s="36" t="s">
        <v>157</v>
      </c>
      <c r="P13" s="36"/>
      <c r="Q13" s="37" t="s">
        <v>128</v>
      </c>
      <c r="R13" s="37" t="s">
        <v>129</v>
      </c>
      <c r="S13" s="38" t="s">
        <v>130</v>
      </c>
      <c r="T13" s="36"/>
    </row>
    <row r="14" customFormat="false" ht="36" hidden="false" customHeight="true" outlineLevel="0" collapsed="false">
      <c r="B14" s="35" t="n">
        <v>9</v>
      </c>
      <c r="C14" s="36" t="s">
        <v>158</v>
      </c>
      <c r="D14" s="36" t="s">
        <v>146</v>
      </c>
      <c r="E14" s="35" t="s">
        <v>122</v>
      </c>
      <c r="F14" s="36" t="s">
        <v>133</v>
      </c>
      <c r="G14" s="35" t="s">
        <v>55</v>
      </c>
      <c r="H14" s="35" t="s">
        <v>67</v>
      </c>
      <c r="I14" s="36" t="s">
        <v>159</v>
      </c>
      <c r="J14" s="36" t="s">
        <v>125</v>
      </c>
      <c r="K14" s="36" t="s">
        <v>126</v>
      </c>
      <c r="L14" s="36"/>
      <c r="M14" s="36"/>
      <c r="N14" s="36"/>
      <c r="O14" s="36" t="s">
        <v>160</v>
      </c>
      <c r="P14" s="36"/>
      <c r="Q14" s="37" t="s">
        <v>128</v>
      </c>
      <c r="R14" s="37" t="s">
        <v>129</v>
      </c>
      <c r="S14" s="38" t="s">
        <v>150</v>
      </c>
      <c r="T14" s="36"/>
    </row>
    <row r="15" customFormat="false" ht="36" hidden="false" customHeight="true" outlineLevel="0" collapsed="false">
      <c r="B15" s="35" t="n">
        <v>10</v>
      </c>
      <c r="C15" s="36" t="s">
        <v>161</v>
      </c>
      <c r="D15" s="36" t="s">
        <v>162</v>
      </c>
      <c r="E15" s="35" t="s">
        <v>122</v>
      </c>
      <c r="F15" s="36" t="s">
        <v>133</v>
      </c>
      <c r="G15" s="35" t="s">
        <v>55</v>
      </c>
      <c r="H15" s="35" t="s">
        <v>67</v>
      </c>
      <c r="I15" s="36" t="s">
        <v>163</v>
      </c>
      <c r="J15" s="36" t="s">
        <v>153</v>
      </c>
      <c r="K15" s="36" t="s">
        <v>154</v>
      </c>
      <c r="L15" s="36"/>
      <c r="M15" s="36"/>
      <c r="N15" s="36"/>
      <c r="O15" s="36" t="s">
        <v>164</v>
      </c>
      <c r="P15" s="36"/>
      <c r="Q15" s="37" t="s">
        <v>128</v>
      </c>
      <c r="R15" s="37" t="s">
        <v>129</v>
      </c>
      <c r="S15" s="38" t="s">
        <v>130</v>
      </c>
      <c r="T15" s="36"/>
    </row>
    <row r="16" customFormat="false" ht="36" hidden="false" customHeight="true" outlineLevel="0" collapsed="false">
      <c r="B16" s="35" t="n">
        <v>11</v>
      </c>
      <c r="C16" s="36" t="s">
        <v>165</v>
      </c>
      <c r="D16" s="36" t="s">
        <v>162</v>
      </c>
      <c r="E16" s="35" t="s">
        <v>122</v>
      </c>
      <c r="F16" s="36" t="s">
        <v>166</v>
      </c>
      <c r="G16" s="35" t="s">
        <v>55</v>
      </c>
      <c r="H16" s="35" t="s">
        <v>67</v>
      </c>
      <c r="I16" s="36" t="s">
        <v>163</v>
      </c>
      <c r="J16" s="36" t="s">
        <v>153</v>
      </c>
      <c r="K16" s="36" t="s">
        <v>154</v>
      </c>
      <c r="L16" s="36"/>
      <c r="M16" s="36"/>
      <c r="N16" s="36"/>
      <c r="O16" s="36" t="s">
        <v>167</v>
      </c>
      <c r="P16" s="36"/>
      <c r="Q16" s="37" t="s">
        <v>128</v>
      </c>
      <c r="R16" s="37" t="s">
        <v>129</v>
      </c>
      <c r="S16" s="38" t="s">
        <v>130</v>
      </c>
      <c r="T16" s="36"/>
    </row>
    <row r="17" customFormat="false" ht="36" hidden="false" customHeight="true" outlineLevel="0" collapsed="false">
      <c r="B17" s="35" t="n">
        <v>12</v>
      </c>
      <c r="C17" s="36" t="s">
        <v>168</v>
      </c>
      <c r="D17" s="36" t="s">
        <v>162</v>
      </c>
      <c r="E17" s="35" t="s">
        <v>122</v>
      </c>
      <c r="F17" s="36" t="s">
        <v>123</v>
      </c>
      <c r="G17" s="35" t="s">
        <v>55</v>
      </c>
      <c r="H17" s="35" t="s">
        <v>67</v>
      </c>
      <c r="I17" s="36" t="s">
        <v>163</v>
      </c>
      <c r="J17" s="36" t="s">
        <v>139</v>
      </c>
      <c r="K17" s="36" t="s">
        <v>169</v>
      </c>
      <c r="L17" s="36"/>
      <c r="M17" s="36"/>
      <c r="N17" s="36"/>
      <c r="O17" s="36" t="s">
        <v>170</v>
      </c>
      <c r="P17" s="36"/>
      <c r="Q17" s="37" t="s">
        <v>128</v>
      </c>
      <c r="R17" s="37" t="s">
        <v>129</v>
      </c>
      <c r="S17" s="38" t="s">
        <v>171</v>
      </c>
      <c r="T17" s="36" t="s">
        <v>172</v>
      </c>
    </row>
    <row r="18" customFormat="false" ht="36" hidden="false" customHeight="true" outlineLevel="0" collapsed="false">
      <c r="B18" s="35" t="n">
        <v>13</v>
      </c>
      <c r="C18" s="36" t="s">
        <v>173</v>
      </c>
      <c r="D18" s="36" t="s">
        <v>174</v>
      </c>
      <c r="E18" s="35" t="s">
        <v>122</v>
      </c>
      <c r="F18" s="36" t="s">
        <v>133</v>
      </c>
      <c r="G18" s="35" t="s">
        <v>55</v>
      </c>
      <c r="H18" s="35" t="s">
        <v>67</v>
      </c>
      <c r="I18" s="36" t="s">
        <v>175</v>
      </c>
      <c r="J18" s="36" t="s">
        <v>125</v>
      </c>
      <c r="K18" s="36" t="s">
        <v>126</v>
      </c>
      <c r="L18" s="36"/>
      <c r="M18" s="36"/>
      <c r="N18" s="36"/>
      <c r="O18" s="36" t="s">
        <v>176</v>
      </c>
      <c r="P18" s="36"/>
      <c r="Q18" s="37" t="s">
        <v>128</v>
      </c>
      <c r="R18" s="37" t="s">
        <v>129</v>
      </c>
      <c r="S18" s="38" t="s">
        <v>150</v>
      </c>
      <c r="T18" s="36" t="s">
        <v>177</v>
      </c>
    </row>
    <row r="19" customFormat="false" ht="36" hidden="false" customHeight="true" outlineLevel="0" collapsed="false">
      <c r="B19" s="35" t="n">
        <v>14</v>
      </c>
      <c r="C19" s="36" t="s">
        <v>178</v>
      </c>
      <c r="D19" s="36" t="s">
        <v>179</v>
      </c>
      <c r="E19" s="35" t="s">
        <v>122</v>
      </c>
      <c r="F19" s="36" t="s">
        <v>133</v>
      </c>
      <c r="G19" s="35" t="s">
        <v>55</v>
      </c>
      <c r="H19" s="35" t="s">
        <v>67</v>
      </c>
      <c r="I19" s="36" t="s">
        <v>159</v>
      </c>
      <c r="J19" s="36" t="s">
        <v>125</v>
      </c>
      <c r="K19" s="36" t="s">
        <v>126</v>
      </c>
      <c r="L19" s="36"/>
      <c r="M19" s="36"/>
      <c r="N19" s="36"/>
      <c r="O19" s="36" t="s">
        <v>180</v>
      </c>
      <c r="P19" s="36"/>
      <c r="Q19" s="37" t="s">
        <v>128</v>
      </c>
      <c r="R19" s="37" t="s">
        <v>129</v>
      </c>
      <c r="S19" s="38" t="s">
        <v>150</v>
      </c>
      <c r="T19" s="36"/>
    </row>
    <row r="20" customFormat="false" ht="36" hidden="false" customHeight="true" outlineLevel="0" collapsed="false">
      <c r="B20" s="35" t="n">
        <v>15</v>
      </c>
      <c r="C20" s="36" t="s">
        <v>181</v>
      </c>
      <c r="D20" s="36" t="s">
        <v>182</v>
      </c>
      <c r="E20" s="35" t="s">
        <v>122</v>
      </c>
      <c r="F20" s="36" t="s">
        <v>123</v>
      </c>
      <c r="G20" s="35" t="s">
        <v>55</v>
      </c>
      <c r="H20" s="35" t="s">
        <v>67</v>
      </c>
      <c r="I20" s="36" t="s">
        <v>147</v>
      </c>
      <c r="J20" s="36" t="s">
        <v>139</v>
      </c>
      <c r="K20" s="36" t="s">
        <v>183</v>
      </c>
      <c r="L20" s="36"/>
      <c r="M20" s="36"/>
      <c r="N20" s="36"/>
      <c r="O20" s="36" t="s">
        <v>184</v>
      </c>
      <c r="P20" s="36"/>
      <c r="Q20" s="37" t="s">
        <v>128</v>
      </c>
      <c r="R20" s="37" t="s">
        <v>129</v>
      </c>
      <c r="S20" s="38" t="s">
        <v>171</v>
      </c>
      <c r="T20" s="36" t="s">
        <v>185</v>
      </c>
    </row>
    <row r="21" customFormat="false" ht="36" hidden="false" customHeight="true" outlineLevel="0" collapsed="false">
      <c r="B21" s="39" t="n">
        <v>16</v>
      </c>
      <c r="C21" s="40" t="s">
        <v>186</v>
      </c>
      <c r="D21" s="40" t="s">
        <v>187</v>
      </c>
      <c r="E21" s="39" t="s">
        <v>122</v>
      </c>
      <c r="F21" s="40" t="s">
        <v>123</v>
      </c>
      <c r="G21" s="39" t="s">
        <v>55</v>
      </c>
      <c r="H21" s="39" t="s">
        <v>67</v>
      </c>
      <c r="I21" s="40" t="s">
        <v>147</v>
      </c>
      <c r="J21" s="40" t="s">
        <v>153</v>
      </c>
      <c r="K21" s="40" t="s">
        <v>154</v>
      </c>
      <c r="L21" s="40"/>
      <c r="M21" s="40"/>
      <c r="N21" s="40"/>
      <c r="O21" s="40" t="s">
        <v>188</v>
      </c>
      <c r="P21" s="40"/>
      <c r="Q21" s="41" t="s">
        <v>128</v>
      </c>
      <c r="R21" s="41" t="s">
        <v>129</v>
      </c>
      <c r="S21" s="42" t="s">
        <v>130</v>
      </c>
      <c r="T21" s="40" t="s">
        <v>189</v>
      </c>
    </row>
    <row r="22" customFormat="false" ht="36" hidden="false" customHeight="true" outlineLevel="0" collapsed="false">
      <c r="B22" s="43" t="n">
        <v>17</v>
      </c>
      <c r="C22" s="44" t="s">
        <v>190</v>
      </c>
      <c r="D22" s="43" t="s">
        <v>174</v>
      </c>
      <c r="E22" s="43" t="s">
        <v>191</v>
      </c>
      <c r="F22" s="43" t="s">
        <v>123</v>
      </c>
      <c r="G22" s="43" t="s">
        <v>55</v>
      </c>
      <c r="H22" s="43" t="s">
        <v>67</v>
      </c>
      <c r="I22" s="44" t="s">
        <v>175</v>
      </c>
      <c r="J22" s="43" t="s">
        <v>125</v>
      </c>
      <c r="K22" s="44" t="s">
        <v>126</v>
      </c>
      <c r="L22" s="36"/>
      <c r="M22" s="36"/>
      <c r="N22" s="36"/>
      <c r="O22" s="44" t="s">
        <v>192</v>
      </c>
      <c r="P22" s="36"/>
      <c r="Q22" s="44" t="s">
        <v>128</v>
      </c>
      <c r="R22" s="44" t="s">
        <v>129</v>
      </c>
      <c r="S22" s="43" t="s">
        <v>130</v>
      </c>
      <c r="T22" s="45"/>
    </row>
    <row r="23" customFormat="false" ht="36" hidden="false" customHeight="true" outlineLevel="0" collapsed="false">
      <c r="B23" s="43" t="n">
        <v>18</v>
      </c>
      <c r="C23" s="44" t="s">
        <v>193</v>
      </c>
      <c r="D23" s="43" t="s">
        <v>174</v>
      </c>
      <c r="E23" s="43" t="s">
        <v>191</v>
      </c>
      <c r="F23" s="43" t="s">
        <v>133</v>
      </c>
      <c r="G23" s="43" t="s">
        <v>55</v>
      </c>
      <c r="H23" s="43" t="s">
        <v>67</v>
      </c>
      <c r="I23" s="44" t="s">
        <v>175</v>
      </c>
      <c r="J23" s="43" t="s">
        <v>153</v>
      </c>
      <c r="K23" s="44" t="s">
        <v>154</v>
      </c>
      <c r="L23" s="36"/>
      <c r="M23" s="36"/>
      <c r="N23" s="36"/>
      <c r="O23" s="44" t="s">
        <v>176</v>
      </c>
      <c r="P23" s="36"/>
      <c r="Q23" s="44" t="s">
        <v>128</v>
      </c>
      <c r="R23" s="44" t="s">
        <v>129</v>
      </c>
      <c r="S23" s="43" t="s">
        <v>150</v>
      </c>
      <c r="T23" s="45"/>
    </row>
    <row r="24" customFormat="false" ht="36" hidden="false" customHeight="true" outlineLevel="0" collapsed="false">
      <c r="B24" s="43" t="n">
        <v>19</v>
      </c>
      <c r="C24" s="44" t="s">
        <v>194</v>
      </c>
      <c r="D24" s="43" t="s">
        <v>174</v>
      </c>
      <c r="E24" s="43" t="s">
        <v>191</v>
      </c>
      <c r="F24" s="43" t="s">
        <v>133</v>
      </c>
      <c r="G24" s="43" t="s">
        <v>55</v>
      </c>
      <c r="H24" s="43" t="s">
        <v>67</v>
      </c>
      <c r="I24" s="44" t="s">
        <v>175</v>
      </c>
      <c r="J24" s="43" t="s">
        <v>125</v>
      </c>
      <c r="K24" s="44" t="s">
        <v>126</v>
      </c>
      <c r="L24" s="36"/>
      <c r="M24" s="36"/>
      <c r="N24" s="36"/>
      <c r="O24" s="44" t="s">
        <v>195</v>
      </c>
      <c r="P24" s="36"/>
      <c r="Q24" s="44" t="s">
        <v>128</v>
      </c>
      <c r="R24" s="44" t="s">
        <v>129</v>
      </c>
      <c r="S24" s="43" t="s">
        <v>150</v>
      </c>
      <c r="T24" s="45"/>
    </row>
    <row r="25" customFormat="false" ht="36" hidden="false" customHeight="true" outlineLevel="0" collapsed="false">
      <c r="B25" s="43" t="n">
        <v>20</v>
      </c>
      <c r="C25" s="44" t="s">
        <v>196</v>
      </c>
      <c r="D25" s="43" t="s">
        <v>174</v>
      </c>
      <c r="E25" s="43" t="s">
        <v>191</v>
      </c>
      <c r="F25" s="43" t="s">
        <v>133</v>
      </c>
      <c r="G25" s="43" t="s">
        <v>55</v>
      </c>
      <c r="H25" s="43" t="s">
        <v>67</v>
      </c>
      <c r="I25" s="44" t="s">
        <v>175</v>
      </c>
      <c r="J25" s="43" t="s">
        <v>153</v>
      </c>
      <c r="K25" s="44" t="s">
        <v>154</v>
      </c>
      <c r="L25" s="36"/>
      <c r="M25" s="36"/>
      <c r="N25" s="36"/>
      <c r="O25" s="44" t="s">
        <v>197</v>
      </c>
      <c r="P25" s="36"/>
      <c r="Q25" s="44" t="s">
        <v>128</v>
      </c>
      <c r="R25" s="44" t="s">
        <v>129</v>
      </c>
      <c r="S25" s="43" t="s">
        <v>130</v>
      </c>
      <c r="T25" s="45"/>
    </row>
    <row r="26" customFormat="false" ht="36" hidden="false" customHeight="true" outlineLevel="0" collapsed="false">
      <c r="B26" s="43" t="n">
        <v>21</v>
      </c>
      <c r="C26" s="44" t="s">
        <v>198</v>
      </c>
      <c r="D26" s="43" t="s">
        <v>187</v>
      </c>
      <c r="E26" s="43" t="s">
        <v>199</v>
      </c>
      <c r="F26" s="43" t="s">
        <v>123</v>
      </c>
      <c r="G26" s="43" t="s">
        <v>55</v>
      </c>
      <c r="H26" s="43" t="s">
        <v>67</v>
      </c>
      <c r="I26" s="44" t="s">
        <v>147</v>
      </c>
      <c r="J26" s="43" t="s">
        <v>139</v>
      </c>
      <c r="K26" s="44" t="s">
        <v>183</v>
      </c>
      <c r="L26" s="36"/>
      <c r="M26" s="36"/>
      <c r="N26" s="36"/>
      <c r="O26" s="44" t="s">
        <v>200</v>
      </c>
      <c r="P26" s="36"/>
      <c r="Q26" s="44" t="s">
        <v>128</v>
      </c>
      <c r="R26" s="44" t="s">
        <v>129</v>
      </c>
      <c r="S26" s="43" t="s">
        <v>130</v>
      </c>
      <c r="T26" s="45"/>
    </row>
    <row r="27" customFormat="false" ht="36" hidden="false" customHeight="true" outlineLevel="0" collapsed="false">
      <c r="B27" s="43" t="n">
        <v>22</v>
      </c>
      <c r="C27" s="44" t="s">
        <v>201</v>
      </c>
      <c r="D27" s="43" t="s">
        <v>187</v>
      </c>
      <c r="E27" s="43" t="s">
        <v>199</v>
      </c>
      <c r="F27" s="43" t="s">
        <v>133</v>
      </c>
      <c r="G27" s="43" t="s">
        <v>55</v>
      </c>
      <c r="H27" s="43" t="s">
        <v>67</v>
      </c>
      <c r="I27" s="44" t="s">
        <v>202</v>
      </c>
      <c r="J27" s="43" t="s">
        <v>153</v>
      </c>
      <c r="K27" s="44" t="s">
        <v>154</v>
      </c>
      <c r="L27" s="36"/>
      <c r="M27" s="36"/>
      <c r="N27" s="36"/>
      <c r="O27" s="44" t="s">
        <v>203</v>
      </c>
      <c r="P27" s="36"/>
      <c r="Q27" s="44" t="s">
        <v>128</v>
      </c>
      <c r="R27" s="44" t="s">
        <v>129</v>
      </c>
      <c r="S27" s="43" t="s">
        <v>150</v>
      </c>
      <c r="T27" s="45"/>
    </row>
    <row r="28" customFormat="false" ht="36" hidden="false" customHeight="true" outlineLevel="0" collapsed="false">
      <c r="B28" s="43" t="n">
        <v>23</v>
      </c>
      <c r="C28" s="44" t="s">
        <v>204</v>
      </c>
      <c r="D28" s="43" t="s">
        <v>187</v>
      </c>
      <c r="E28" s="43" t="s">
        <v>199</v>
      </c>
      <c r="F28" s="43" t="s">
        <v>133</v>
      </c>
      <c r="G28" s="43" t="s">
        <v>55</v>
      </c>
      <c r="H28" s="43" t="s">
        <v>67</v>
      </c>
      <c r="I28" s="44" t="s">
        <v>147</v>
      </c>
      <c r="J28" s="43" t="s">
        <v>139</v>
      </c>
      <c r="K28" s="44" t="s">
        <v>140</v>
      </c>
      <c r="L28" s="36"/>
      <c r="M28" s="36"/>
      <c r="N28" s="36"/>
      <c r="O28" s="44" t="s">
        <v>203</v>
      </c>
      <c r="P28" s="36"/>
      <c r="Q28" s="44" t="s">
        <v>128</v>
      </c>
      <c r="R28" s="44" t="s">
        <v>129</v>
      </c>
      <c r="S28" s="43" t="s">
        <v>130</v>
      </c>
      <c r="T28" s="45"/>
    </row>
    <row r="29" customFormat="false" ht="36" hidden="false" customHeight="true" outlineLevel="0" collapsed="false">
      <c r="B29" s="43" t="n">
        <v>24</v>
      </c>
      <c r="C29" s="44" t="s">
        <v>205</v>
      </c>
      <c r="D29" s="43" t="s">
        <v>187</v>
      </c>
      <c r="E29" s="43" t="s">
        <v>199</v>
      </c>
      <c r="F29" s="43" t="s">
        <v>166</v>
      </c>
      <c r="G29" s="43" t="s">
        <v>55</v>
      </c>
      <c r="H29" s="43" t="s">
        <v>67</v>
      </c>
      <c r="I29" s="44" t="s">
        <v>206</v>
      </c>
      <c r="J29" s="43" t="s">
        <v>139</v>
      </c>
      <c r="K29" s="44" t="s">
        <v>206</v>
      </c>
      <c r="L29" s="36"/>
      <c r="M29" s="36"/>
      <c r="N29" s="36"/>
      <c r="O29" s="44" t="s">
        <v>203</v>
      </c>
      <c r="P29" s="36"/>
      <c r="Q29" s="44" t="s">
        <v>128</v>
      </c>
      <c r="R29" s="44" t="s">
        <v>129</v>
      </c>
      <c r="S29" s="43" t="s">
        <v>150</v>
      </c>
      <c r="T29" s="45"/>
    </row>
    <row r="30" customFormat="false" ht="36" hidden="false" customHeight="true" outlineLevel="0" collapsed="false">
      <c r="B30" s="43" t="n">
        <v>25</v>
      </c>
      <c r="C30" s="44" t="s">
        <v>207</v>
      </c>
      <c r="D30" s="43" t="s">
        <v>179</v>
      </c>
      <c r="E30" s="43" t="s">
        <v>191</v>
      </c>
      <c r="F30" s="43" t="s">
        <v>133</v>
      </c>
      <c r="G30" s="43" t="s">
        <v>55</v>
      </c>
      <c r="H30" s="43" t="s">
        <v>67</v>
      </c>
      <c r="I30" s="44" t="s">
        <v>159</v>
      </c>
      <c r="J30" s="43" t="s">
        <v>125</v>
      </c>
      <c r="K30" s="44" t="s">
        <v>126</v>
      </c>
      <c r="L30" s="36"/>
      <c r="M30" s="36"/>
      <c r="N30" s="36"/>
      <c r="O30" s="44" t="s">
        <v>180</v>
      </c>
      <c r="P30" s="36"/>
      <c r="Q30" s="44" t="s">
        <v>128</v>
      </c>
      <c r="R30" s="44" t="s">
        <v>129</v>
      </c>
      <c r="S30" s="43" t="s">
        <v>150</v>
      </c>
      <c r="T30" s="45"/>
    </row>
    <row r="31" customFormat="false" ht="36" hidden="false" customHeight="true" outlineLevel="0" collapsed="false">
      <c r="B31" s="43" t="n">
        <v>26</v>
      </c>
      <c r="C31" s="44" t="s">
        <v>208</v>
      </c>
      <c r="D31" s="43" t="s">
        <v>179</v>
      </c>
      <c r="E31" s="43" t="s">
        <v>191</v>
      </c>
      <c r="F31" s="43" t="s">
        <v>133</v>
      </c>
      <c r="G31" s="43" t="s">
        <v>55</v>
      </c>
      <c r="H31" s="43" t="s">
        <v>67</v>
      </c>
      <c r="I31" s="44" t="s">
        <v>159</v>
      </c>
      <c r="J31" s="43" t="s">
        <v>125</v>
      </c>
      <c r="K31" s="44" t="s">
        <v>126</v>
      </c>
      <c r="L31" s="36"/>
      <c r="M31" s="36"/>
      <c r="N31" s="36"/>
      <c r="O31" s="44" t="s">
        <v>180</v>
      </c>
      <c r="P31" s="36"/>
      <c r="Q31" s="44" t="s">
        <v>128</v>
      </c>
      <c r="R31" s="44" t="s">
        <v>129</v>
      </c>
      <c r="S31" s="43" t="s">
        <v>150</v>
      </c>
      <c r="T31" s="45"/>
    </row>
    <row r="32" customFormat="false" ht="36" hidden="false" customHeight="true" outlineLevel="0" collapsed="false">
      <c r="B32" s="43" t="n">
        <v>27</v>
      </c>
      <c r="C32" s="44" t="s">
        <v>209</v>
      </c>
      <c r="D32" s="43" t="s">
        <v>162</v>
      </c>
      <c r="E32" s="43" t="s">
        <v>191</v>
      </c>
      <c r="F32" s="43" t="s">
        <v>133</v>
      </c>
      <c r="G32" s="43" t="s">
        <v>55</v>
      </c>
      <c r="H32" s="43" t="s">
        <v>67</v>
      </c>
      <c r="I32" s="44" t="s">
        <v>163</v>
      </c>
      <c r="J32" s="43" t="s">
        <v>153</v>
      </c>
      <c r="K32" s="44" t="s">
        <v>154</v>
      </c>
      <c r="L32" s="36"/>
      <c r="M32" s="36"/>
      <c r="N32" s="36"/>
      <c r="O32" s="44" t="s">
        <v>164</v>
      </c>
      <c r="P32" s="36"/>
      <c r="Q32" s="44" t="s">
        <v>128</v>
      </c>
      <c r="R32" s="44" t="s">
        <v>129</v>
      </c>
      <c r="S32" s="43" t="s">
        <v>130</v>
      </c>
      <c r="T32" s="45"/>
    </row>
    <row r="33" customFormat="false" ht="36" hidden="false" customHeight="true" outlineLevel="0" collapsed="false">
      <c r="B33" s="43" t="n">
        <v>28</v>
      </c>
      <c r="C33" s="44" t="s">
        <v>210</v>
      </c>
      <c r="D33" s="43" t="s">
        <v>162</v>
      </c>
      <c r="E33" s="43" t="s">
        <v>191</v>
      </c>
      <c r="F33" s="43" t="s">
        <v>133</v>
      </c>
      <c r="G33" s="43" t="s">
        <v>55</v>
      </c>
      <c r="H33" s="43" t="s">
        <v>67</v>
      </c>
      <c r="I33" s="44" t="s">
        <v>163</v>
      </c>
      <c r="J33" s="43" t="s">
        <v>139</v>
      </c>
      <c r="K33" s="44" t="s">
        <v>183</v>
      </c>
      <c r="L33" s="36"/>
      <c r="M33" s="36"/>
      <c r="N33" s="36"/>
      <c r="O33" s="44" t="s">
        <v>167</v>
      </c>
      <c r="P33" s="36"/>
      <c r="Q33" s="44" t="s">
        <v>128</v>
      </c>
      <c r="R33" s="44" t="s">
        <v>129</v>
      </c>
      <c r="S33" s="43" t="s">
        <v>130</v>
      </c>
      <c r="T33" s="45"/>
    </row>
    <row r="34" customFormat="false" ht="36" hidden="false" customHeight="true" outlineLevel="0" collapsed="false">
      <c r="B34" s="43" t="n">
        <v>29</v>
      </c>
      <c r="C34" s="44" t="s">
        <v>211</v>
      </c>
      <c r="D34" s="43" t="s">
        <v>206</v>
      </c>
      <c r="E34" s="43" t="s">
        <v>212</v>
      </c>
      <c r="F34" s="43" t="s">
        <v>166</v>
      </c>
      <c r="G34" s="43" t="s">
        <v>55</v>
      </c>
      <c r="H34" s="43" t="s">
        <v>67</v>
      </c>
      <c r="I34" s="44" t="s">
        <v>206</v>
      </c>
      <c r="J34" s="43" t="s">
        <v>206</v>
      </c>
      <c r="K34" s="44" t="s">
        <v>206</v>
      </c>
      <c r="L34" s="36"/>
      <c r="M34" s="36"/>
      <c r="N34" s="36"/>
      <c r="O34" s="44" t="s">
        <v>206</v>
      </c>
      <c r="P34" s="36"/>
      <c r="Q34" s="44" t="s">
        <v>128</v>
      </c>
      <c r="R34" s="44" t="s">
        <v>129</v>
      </c>
      <c r="S34" s="43" t="s">
        <v>150</v>
      </c>
      <c r="T34" s="45"/>
    </row>
    <row r="35" customFormat="false" ht="36" hidden="false" customHeight="true" outlineLevel="0" collapsed="false">
      <c r="B35" s="43" t="n">
        <v>30</v>
      </c>
      <c r="C35" s="44" t="s">
        <v>213</v>
      </c>
      <c r="D35" s="43" t="s">
        <v>206</v>
      </c>
      <c r="E35" s="43" t="s">
        <v>212</v>
      </c>
      <c r="F35" s="43" t="s">
        <v>166</v>
      </c>
      <c r="G35" s="43" t="s">
        <v>55</v>
      </c>
      <c r="H35" s="43" t="s">
        <v>67</v>
      </c>
      <c r="I35" s="44" t="s">
        <v>206</v>
      </c>
      <c r="J35" s="43" t="s">
        <v>206</v>
      </c>
      <c r="K35" s="44" t="s">
        <v>206</v>
      </c>
      <c r="L35" s="36"/>
      <c r="M35" s="36"/>
      <c r="N35" s="36"/>
      <c r="O35" s="44" t="s">
        <v>206</v>
      </c>
      <c r="P35" s="36"/>
      <c r="Q35" s="44" t="s">
        <v>128</v>
      </c>
      <c r="R35" s="44" t="s">
        <v>129</v>
      </c>
      <c r="S35" s="43" t="s">
        <v>150</v>
      </c>
      <c r="T35" s="45"/>
    </row>
    <row r="36" customFormat="false" ht="36" hidden="false" customHeight="true" outlineLevel="0" collapsed="false">
      <c r="B36" s="43" t="n">
        <v>31</v>
      </c>
      <c r="C36" s="44" t="s">
        <v>214</v>
      </c>
      <c r="D36" s="43" t="s">
        <v>206</v>
      </c>
      <c r="E36" s="43" t="s">
        <v>212</v>
      </c>
      <c r="F36" s="43" t="s">
        <v>166</v>
      </c>
      <c r="G36" s="43" t="s">
        <v>55</v>
      </c>
      <c r="H36" s="43" t="s">
        <v>67</v>
      </c>
      <c r="I36" s="44" t="s">
        <v>206</v>
      </c>
      <c r="J36" s="43" t="s">
        <v>206</v>
      </c>
      <c r="K36" s="44" t="s">
        <v>206</v>
      </c>
      <c r="L36" s="36"/>
      <c r="M36" s="36"/>
      <c r="N36" s="36"/>
      <c r="O36" s="44" t="s">
        <v>206</v>
      </c>
      <c r="P36" s="36"/>
      <c r="Q36" s="44" t="s">
        <v>128</v>
      </c>
      <c r="R36" s="44" t="s">
        <v>129</v>
      </c>
      <c r="S36" s="43" t="s">
        <v>150</v>
      </c>
      <c r="T36" s="45"/>
    </row>
  </sheetData>
  <mergeCells count="1">
    <mergeCell ref="B3:T3"/>
  </mergeCells>
  <dataValidations count="8">
    <dataValidation allowBlank="true" errorStyle="stop" operator="between" showDropDown="false" showErrorMessage="false" showInputMessage="false" sqref="D6:D36" type="list">
      <formula1>Lookups!$E$6:$E$13</formula1>
      <formula2>0</formula2>
    </dataValidation>
    <dataValidation allowBlank="true" errorStyle="stop" operator="between" showDropDown="false" showErrorMessage="false" showInputMessage="false" sqref="E6:E36" type="list">
      <formula1>Lookups!$C$6:$C$10</formula1>
      <formula2>0</formula2>
    </dataValidation>
    <dataValidation allowBlank="true" errorStyle="stop" operator="between" showDropDown="false" showErrorMessage="false" showInputMessage="false" sqref="F6:F36" type="list">
      <formula1>Lookups!$B$6:$B$8</formula1>
      <formula2>0</formula2>
    </dataValidation>
    <dataValidation allowBlank="true" errorStyle="stop" operator="between" showDropDown="false" showErrorMessage="false" showInputMessage="false" sqref="G6:G36" type="list">
      <formula1>Lookups!$D$6:$D$8</formula1>
      <formula2>0</formula2>
    </dataValidation>
    <dataValidation allowBlank="true" errorStyle="stop" operator="between" showDropDown="false" showErrorMessage="false" showInputMessage="false" sqref="H6:H36" type="list">
      <formula1>Lookups!$D$6:$D$8</formula1>
      <formula2>0</formula2>
    </dataValidation>
    <dataValidation allowBlank="true" errorStyle="stop" operator="between" showDropDown="false" showErrorMessage="false" showInputMessage="false" sqref="I6:I36" type="list">
      <formula1>Lookups!$G$6:$G$13</formula1>
      <formula2>0</formula2>
    </dataValidation>
    <dataValidation allowBlank="true" errorStyle="stop" operator="between" showDropDown="false" showErrorMessage="false" showInputMessage="false" sqref="J6:J36" type="list">
      <formula1>Lookups!$F$6:$F$11</formula1>
      <formula2>0</formula2>
    </dataValidation>
    <dataValidation allowBlank="true" errorStyle="stop" operator="between" showDropDown="false" showErrorMessage="false" showInputMessage="false" sqref="S6:S36" type="list">
      <formula1>Lookups!$H$6:$H$9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6" min="3" style="1" width="11"/>
    <col collapsed="false" customWidth="true" hidden="false" outlineLevel="0" max="7" min="7" style="1" width="12"/>
    <col collapsed="false" customWidth="true" hidden="false" outlineLevel="0" max="8" min="8" style="1" width="42"/>
  </cols>
  <sheetData>
    <row r="2" customFormat="false" ht="27.75" hidden="false" customHeight="true" outlineLevel="0" collapsed="false">
      <c r="B2" s="33" t="s">
        <v>215</v>
      </c>
    </row>
    <row r="3" customFormat="false" ht="30" hidden="false" customHeight="true" outlineLevel="0" collapsed="false">
      <c r="B3" s="34" t="s">
        <v>216</v>
      </c>
      <c r="C3" s="34"/>
      <c r="D3" s="34"/>
      <c r="E3" s="34"/>
      <c r="F3" s="34"/>
      <c r="G3" s="34"/>
      <c r="H3" s="34"/>
    </row>
    <row r="4" customFormat="false" ht="25.5" hidden="false" customHeight="true" outlineLevel="0" collapsed="false">
      <c r="B4" s="9" t="s">
        <v>43</v>
      </c>
      <c r="C4" s="9" t="s">
        <v>123</v>
      </c>
      <c r="D4" s="9" t="s">
        <v>133</v>
      </c>
      <c r="E4" s="9" t="s">
        <v>166</v>
      </c>
      <c r="F4" s="9" t="s">
        <v>45</v>
      </c>
      <c r="G4" s="9" t="s">
        <v>217</v>
      </c>
      <c r="H4" s="9" t="s">
        <v>119</v>
      </c>
    </row>
    <row r="5" customFormat="false" ht="21.75" hidden="false" customHeight="true" outlineLevel="0" collapsed="false">
      <c r="B5" s="46" t="s">
        <v>54</v>
      </c>
      <c r="C5" s="47" t="n">
        <v>0.999</v>
      </c>
      <c r="D5" s="47" t="n">
        <v>0.995</v>
      </c>
      <c r="E5" s="47" t="n">
        <v>0.99</v>
      </c>
      <c r="F5" s="11" t="s">
        <v>56</v>
      </c>
      <c r="G5" s="11" t="s">
        <v>218</v>
      </c>
      <c r="H5" s="17" t="s">
        <v>219</v>
      </c>
    </row>
    <row r="6" customFormat="false" ht="21.75" hidden="false" customHeight="true" outlineLevel="0" collapsed="false">
      <c r="B6" s="48" t="s">
        <v>58</v>
      </c>
      <c r="C6" s="49" t="n">
        <v>0.99</v>
      </c>
      <c r="D6" s="49" t="n">
        <v>0.95</v>
      </c>
      <c r="E6" s="49" t="n">
        <v>0.9</v>
      </c>
      <c r="F6" s="50" t="s">
        <v>56</v>
      </c>
      <c r="G6" s="50" t="s">
        <v>218</v>
      </c>
      <c r="H6" s="51" t="s">
        <v>220</v>
      </c>
    </row>
    <row r="7" customFormat="false" ht="21.75" hidden="false" customHeight="true" outlineLevel="0" collapsed="false">
      <c r="B7" s="46" t="s">
        <v>221</v>
      </c>
      <c r="C7" s="52" t="n">
        <v>0</v>
      </c>
      <c r="D7" s="52" t="n">
        <v>2</v>
      </c>
      <c r="E7" s="52" t="n">
        <v>5</v>
      </c>
      <c r="F7" s="11" t="s">
        <v>60</v>
      </c>
      <c r="G7" s="11" t="s">
        <v>222</v>
      </c>
      <c r="H7" s="17" t="s">
        <v>223</v>
      </c>
    </row>
    <row r="8" customFormat="false" ht="21.75" hidden="false" customHeight="true" outlineLevel="0" collapsed="false">
      <c r="B8" s="48" t="s">
        <v>224</v>
      </c>
      <c r="C8" s="53" t="n">
        <v>2</v>
      </c>
      <c r="D8" s="53" t="n">
        <v>4</v>
      </c>
      <c r="E8" s="53" t="n">
        <v>8</v>
      </c>
      <c r="F8" s="50" t="s">
        <v>60</v>
      </c>
      <c r="G8" s="50" t="s">
        <v>225</v>
      </c>
      <c r="H8" s="51" t="s">
        <v>226</v>
      </c>
    </row>
    <row r="9" customFormat="false" ht="21.75" hidden="false" customHeight="true" outlineLevel="0" collapsed="false">
      <c r="B9" s="46" t="s">
        <v>63</v>
      </c>
      <c r="C9" s="47" t="n">
        <v>0.99</v>
      </c>
      <c r="D9" s="47" t="n">
        <v>0.98</v>
      </c>
      <c r="E9" s="47" t="n">
        <v>0.95</v>
      </c>
      <c r="F9" s="11" t="s">
        <v>56</v>
      </c>
      <c r="G9" s="11" t="s">
        <v>218</v>
      </c>
      <c r="H9" s="17" t="s">
        <v>227</v>
      </c>
    </row>
    <row r="10" customFormat="false" ht="21.75" hidden="false" customHeight="true" outlineLevel="0" collapsed="false">
      <c r="B10" s="48" t="s">
        <v>66</v>
      </c>
      <c r="C10" s="49" t="n">
        <v>0.999</v>
      </c>
      <c r="D10" s="49" t="n">
        <v>0.995</v>
      </c>
      <c r="E10" s="49" t="n">
        <v>0.99</v>
      </c>
      <c r="F10" s="50" t="s">
        <v>56</v>
      </c>
      <c r="G10" s="50" t="s">
        <v>218</v>
      </c>
      <c r="H10" s="51" t="s">
        <v>228</v>
      </c>
    </row>
    <row r="11" customFormat="false" ht="21.75" hidden="false" customHeight="true" outlineLevel="0" collapsed="false">
      <c r="B11" s="46" t="s">
        <v>229</v>
      </c>
      <c r="C11" s="54" t="n">
        <v>3</v>
      </c>
      <c r="D11" s="54" t="n">
        <v>5</v>
      </c>
      <c r="E11" s="54" t="n">
        <v>8</v>
      </c>
      <c r="F11" s="11" t="s">
        <v>60</v>
      </c>
      <c r="G11" s="11" t="s">
        <v>230</v>
      </c>
      <c r="H11" s="17" t="s">
        <v>231</v>
      </c>
    </row>
    <row r="12" customFormat="false" ht="21.75" hidden="false" customHeight="true" outlineLevel="0" collapsed="false">
      <c r="B12" s="48" t="s">
        <v>232</v>
      </c>
      <c r="C12" s="53" t="n">
        <v>4</v>
      </c>
      <c r="D12" s="53" t="n">
        <v>8</v>
      </c>
      <c r="E12" s="53" t="n">
        <v>24</v>
      </c>
      <c r="F12" s="50" t="s">
        <v>60</v>
      </c>
      <c r="G12" s="50" t="s">
        <v>225</v>
      </c>
      <c r="H12" s="51" t="s">
        <v>233</v>
      </c>
    </row>
    <row r="13" customFormat="false" ht="21.75" hidden="false" customHeight="true" outlineLevel="0" collapsed="false">
      <c r="B13" s="46" t="s">
        <v>70</v>
      </c>
      <c r="C13" s="47" t="n">
        <v>0.8</v>
      </c>
      <c r="D13" s="47" t="n">
        <v>0.7</v>
      </c>
      <c r="E13" s="47" t="n">
        <v>0.5</v>
      </c>
      <c r="F13" s="11" t="s">
        <v>56</v>
      </c>
      <c r="G13" s="11" t="s">
        <v>218</v>
      </c>
      <c r="H13" s="17" t="s">
        <v>234</v>
      </c>
    </row>
    <row r="14" customFormat="false" ht="21.75" hidden="false" customHeight="true" outlineLevel="0" collapsed="false">
      <c r="B14" s="48" t="s">
        <v>235</v>
      </c>
      <c r="C14" s="53" t="n">
        <v>4.3</v>
      </c>
      <c r="D14" s="53" t="n">
        <v>4</v>
      </c>
      <c r="E14" s="53" t="n">
        <v>3.8</v>
      </c>
      <c r="F14" s="50" t="s">
        <v>56</v>
      </c>
      <c r="G14" s="50" t="s">
        <v>236</v>
      </c>
      <c r="H14" s="51" t="s">
        <v>237</v>
      </c>
    </row>
    <row r="17" customFormat="false" ht="24" hidden="false" customHeight="true" outlineLevel="0" collapsed="false">
      <c r="B17" s="5" t="s">
        <v>238</v>
      </c>
      <c r="C17" s="5"/>
      <c r="D17" s="5"/>
      <c r="E17" s="5"/>
      <c r="F17" s="5"/>
      <c r="G17" s="5"/>
      <c r="H17" s="5"/>
    </row>
    <row r="18" customFormat="false" ht="36" hidden="false" customHeight="true" outlineLevel="0" collapsed="false">
      <c r="B18" s="55" t="s">
        <v>239</v>
      </c>
      <c r="C18" s="56" t="s">
        <v>240</v>
      </c>
      <c r="D18" s="56"/>
      <c r="E18" s="56"/>
      <c r="F18" s="56"/>
      <c r="G18" s="56"/>
      <c r="H18" s="56"/>
    </row>
    <row r="19" customFormat="false" ht="36" hidden="false" customHeight="true" outlineLevel="0" collapsed="false">
      <c r="B19" s="55" t="s">
        <v>241</v>
      </c>
      <c r="C19" s="56" t="s">
        <v>242</v>
      </c>
      <c r="D19" s="56"/>
      <c r="E19" s="56"/>
      <c r="F19" s="56"/>
      <c r="G19" s="56"/>
      <c r="H19" s="56"/>
    </row>
    <row r="20" customFormat="false" ht="36" hidden="false" customHeight="true" outlineLevel="0" collapsed="false">
      <c r="B20" s="55" t="s">
        <v>243</v>
      </c>
      <c r="C20" s="56" t="s">
        <v>244</v>
      </c>
      <c r="D20" s="56"/>
      <c r="E20" s="56"/>
      <c r="F20" s="56"/>
      <c r="G20" s="56"/>
      <c r="H20" s="56"/>
    </row>
  </sheetData>
  <mergeCells count="5">
    <mergeCell ref="B3:H3"/>
    <mergeCell ref="B17:H17"/>
    <mergeCell ref="C18:H18"/>
    <mergeCell ref="C19:H19"/>
    <mergeCell ref="C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2"/>
    <col collapsed="false" customWidth="true" hidden="false" outlineLevel="0" max="4" min="4" style="1" width="11"/>
    <col collapsed="false" customWidth="true" hidden="false" outlineLevel="0" max="5" min="5" style="1" width="7"/>
    <col collapsed="false" customWidth="true" hidden="false" outlineLevel="0" max="35" min="6" style="1" width="9"/>
  </cols>
  <sheetData>
    <row r="2" customFormat="false" ht="27.75" hidden="false" customHeight="true" outlineLevel="0" collapsed="false">
      <c r="B2" s="33" t="s">
        <v>245</v>
      </c>
    </row>
    <row r="3" customFormat="false" ht="30" hidden="false" customHeight="true" outlineLevel="0" collapsed="false">
      <c r="B3" s="34" t="s">
        <v>246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customFormat="false" ht="15" hidden="false" customHeight="true" outlineLevel="0" collapsed="false">
      <c r="B4" s="4" t="s">
        <v>41</v>
      </c>
      <c r="C4" s="57" t="s">
        <v>247</v>
      </c>
    </row>
    <row r="5" customFormat="false" ht="30" hidden="false" customHeight="true" outlineLevel="0" collapsed="false">
      <c r="B5" s="9" t="s">
        <v>101</v>
      </c>
      <c r="C5" s="9" t="s">
        <v>102</v>
      </c>
      <c r="D5" s="9" t="s">
        <v>104</v>
      </c>
      <c r="E5" s="9" t="s">
        <v>105</v>
      </c>
      <c r="F5" s="9" t="s">
        <v>248</v>
      </c>
      <c r="G5" s="9"/>
      <c r="H5" s="9"/>
      <c r="I5" s="9" t="s">
        <v>249</v>
      </c>
      <c r="J5" s="9"/>
      <c r="K5" s="9"/>
      <c r="L5" s="9" t="s">
        <v>250</v>
      </c>
      <c r="M5" s="9"/>
      <c r="N5" s="9"/>
      <c r="O5" s="9" t="s">
        <v>251</v>
      </c>
      <c r="P5" s="9"/>
      <c r="Q5" s="9"/>
      <c r="R5" s="9" t="s">
        <v>252</v>
      </c>
      <c r="S5" s="9"/>
      <c r="T5" s="9"/>
      <c r="U5" s="9" t="s">
        <v>253</v>
      </c>
      <c r="V5" s="9"/>
      <c r="W5" s="9"/>
      <c r="X5" s="9" t="s">
        <v>254</v>
      </c>
      <c r="Y5" s="9"/>
      <c r="Z5" s="9"/>
      <c r="AA5" s="9" t="s">
        <v>255</v>
      </c>
      <c r="AB5" s="9"/>
      <c r="AC5" s="9"/>
      <c r="AD5" s="9" t="s">
        <v>256</v>
      </c>
      <c r="AE5" s="9"/>
      <c r="AF5" s="9"/>
      <c r="AG5" s="9" t="s">
        <v>257</v>
      </c>
      <c r="AH5" s="9"/>
      <c r="AI5" s="9"/>
    </row>
    <row r="6" customFormat="false" ht="19.5" hidden="false" customHeight="true" outlineLevel="0" collapsed="false">
      <c r="B6" s="9"/>
      <c r="C6" s="9"/>
      <c r="D6" s="9"/>
      <c r="E6" s="9"/>
      <c r="F6" s="58" t="s">
        <v>46</v>
      </c>
      <c r="G6" s="58" t="s">
        <v>48</v>
      </c>
      <c r="H6" s="58" t="s">
        <v>50</v>
      </c>
      <c r="I6" s="58" t="s">
        <v>46</v>
      </c>
      <c r="J6" s="58" t="s">
        <v>48</v>
      </c>
      <c r="K6" s="58" t="s">
        <v>50</v>
      </c>
      <c r="L6" s="58" t="s">
        <v>46</v>
      </c>
      <c r="M6" s="58" t="s">
        <v>48</v>
      </c>
      <c r="N6" s="58" t="s">
        <v>50</v>
      </c>
      <c r="O6" s="58" t="s">
        <v>46</v>
      </c>
      <c r="P6" s="58" t="s">
        <v>48</v>
      </c>
      <c r="Q6" s="58" t="s">
        <v>50</v>
      </c>
      <c r="R6" s="58" t="s">
        <v>46</v>
      </c>
      <c r="S6" s="58" t="s">
        <v>48</v>
      </c>
      <c r="T6" s="58" t="s">
        <v>50</v>
      </c>
      <c r="U6" s="58" t="s">
        <v>46</v>
      </c>
      <c r="V6" s="58" t="s">
        <v>48</v>
      </c>
      <c r="W6" s="58" t="s">
        <v>50</v>
      </c>
      <c r="X6" s="58" t="s">
        <v>46</v>
      </c>
      <c r="Y6" s="58" t="s">
        <v>48</v>
      </c>
      <c r="Z6" s="58" t="s">
        <v>50</v>
      </c>
      <c r="AA6" s="58" t="s">
        <v>46</v>
      </c>
      <c r="AB6" s="58" t="s">
        <v>48</v>
      </c>
      <c r="AC6" s="58" t="s">
        <v>50</v>
      </c>
      <c r="AD6" s="58" t="s">
        <v>46</v>
      </c>
      <c r="AE6" s="58" t="s">
        <v>48</v>
      </c>
      <c r="AF6" s="58" t="s">
        <v>50</v>
      </c>
      <c r="AG6" s="58" t="s">
        <v>46</v>
      </c>
      <c r="AH6" s="58" t="s">
        <v>48</v>
      </c>
      <c r="AI6" s="58" t="s">
        <v>50</v>
      </c>
    </row>
    <row r="7" customFormat="false" ht="19.5" hidden="false" customHeight="true" outlineLevel="0" collapsed="false">
      <c r="B7" s="35" t="n">
        <f aca="false">IF('Dashboard Portfolio'!B6="","",'Dashboard Portfolio'!B6)</f>
        <v>1</v>
      </c>
      <c r="C7" s="37" t="str">
        <f aca="false">IF('Dashboard Portfolio'!C6="","",'Dashboard Portfolio'!C6)</f>
        <v>Finance — Daily Cash Position</v>
      </c>
      <c r="D7" s="35" t="str">
        <f aca="false">IF('Dashboard Portfolio'!E6="","",'Dashboard Portfolio'!E6)</f>
        <v>Live</v>
      </c>
      <c r="E7" s="59" t="str">
        <f aca="false">IF('Dashboard Portfolio'!F6="","",'Dashboard Portfolio'!F6)</f>
        <v>P1</v>
      </c>
      <c r="F7" s="60" t="n">
        <f aca="false">IF($D7&lt;&gt;"Live","",IFERROR(HLOOKUP($E7,'SLA Tiers'!$C$4:$E$14,2,FALSE()),""))</f>
        <v>0.999</v>
      </c>
      <c r="G7" s="61"/>
      <c r="H7" s="59" t="str">
        <f aca="false">IF(OR(G7="",F7=""),"",IF(G7&gt;=F7,"Green",IF(G7&gt;=F7*0.9,"Amber","Red")))</f>
        <v/>
      </c>
      <c r="I7" s="60" t="n">
        <f aca="false">IF($D7&lt;&gt;"Live","",IFERROR(HLOOKUP($E7,'SLA Tiers'!$C$4:$E$14,3,FALSE()),""))</f>
        <v>0.99</v>
      </c>
      <c r="J7" s="61"/>
      <c r="K7" s="59" t="str">
        <f aca="false">IF(OR(J7="",I7=""),"",IF(J7&gt;=I7,"Green",IF(J7&gt;=I7*0.9,"Amber","Red")))</f>
        <v/>
      </c>
      <c r="L7" s="62" t="n">
        <f aca="false">IF($D7&lt;&gt;"Live","",IFERROR(HLOOKUP($E7,'SLA Tiers'!$C$4:$E$14,4,FALSE()),""))</f>
        <v>0</v>
      </c>
      <c r="M7" s="63"/>
      <c r="N7" s="59" t="str">
        <f aca="false">IF(OR(M7="",L7=""),"",IF(M7&lt;=L7,"Green",IF(M7&lt;=L7*1.1,"Amber","Red")))</f>
        <v/>
      </c>
      <c r="O7" s="64" t="n">
        <f aca="false">IF($D7&lt;&gt;"Live","",IFERROR(HLOOKUP($E7,'SLA Tiers'!$C$4:$E$14,5,FALSE()),""))</f>
        <v>2</v>
      </c>
      <c r="P7" s="65"/>
      <c r="Q7" s="59" t="str">
        <f aca="false">IF(OR(P7="",O7=""),"",IF(P7&lt;=O7,"Green",IF(P7&lt;=O7*1.1,"Amber","Red")))</f>
        <v/>
      </c>
      <c r="R7" s="60" t="n">
        <f aca="false">IF($D7&lt;&gt;"Live","",IFERROR(HLOOKUP($E7,'SLA Tiers'!$C$4:$E$14,6,FALSE()),""))</f>
        <v>0.99</v>
      </c>
      <c r="S7" s="61"/>
      <c r="T7" s="59" t="str">
        <f aca="false">IF(OR(S7="",R7=""),"",IF(S7&gt;=R7,"Green",IF(S7&gt;=R7*0.9,"Amber","Red")))</f>
        <v/>
      </c>
      <c r="U7" s="60" t="n">
        <f aca="false">IF($D7&lt;&gt;"Live","",IFERROR(HLOOKUP($E7,'SLA Tiers'!$C$4:$E$14,7,FALSE()),""))</f>
        <v>0.999</v>
      </c>
      <c r="V7" s="61"/>
      <c r="W7" s="59" t="str">
        <f aca="false">IF(OR(V7="",U7=""),"",IF(V7&gt;=U7,"Green",IF(V7&gt;=U7*0.9,"Amber","Red")))</f>
        <v/>
      </c>
      <c r="X7" s="64" t="n">
        <f aca="false">IF($D7&lt;&gt;"Live","",IFERROR(HLOOKUP($E7,'SLA Tiers'!$C$4:$E$14,8,FALSE()),""))</f>
        <v>3</v>
      </c>
      <c r="Y7" s="65"/>
      <c r="Z7" s="59" t="str">
        <f aca="false">IF(OR(Y7="",X7=""),"",IF(Y7&lt;=X7,"Green",IF(Y7&lt;=X7*1.1,"Amber","Red")))</f>
        <v/>
      </c>
      <c r="AA7" s="64" t="n">
        <f aca="false">IF($D7&lt;&gt;"Live","",IFERROR(HLOOKUP($E7,'SLA Tiers'!$C$4:$E$14,9,FALSE()),""))</f>
        <v>4</v>
      </c>
      <c r="AB7" s="65"/>
      <c r="AC7" s="59" t="str">
        <f aca="false">IF(OR(AB7="",AA7=""),"",IF(AB7&lt;=AA7,"Green",IF(AB7&lt;=AA7*1.1,"Amber","Red")))</f>
        <v/>
      </c>
      <c r="AD7" s="60" t="n">
        <f aca="false">IF($D7&lt;&gt;"Live","",IFERROR(HLOOKUP($E7,'SLA Tiers'!$C$4:$E$14,10,FALSE()),""))</f>
        <v>0.8</v>
      </c>
      <c r="AE7" s="61"/>
      <c r="AF7" s="59" t="str">
        <f aca="false">IF(OR(AE7="",AD7=""),"",IF(AE7&gt;=AD7,"Green",IF(AE7&gt;=AD7*0.9,"Amber","Red")))</f>
        <v/>
      </c>
      <c r="AG7" s="64" t="n">
        <f aca="false">IF($D7&lt;&gt;"Live","",IFERROR(HLOOKUP($E7,'SLA Tiers'!$C$4:$E$14,11,FALSE()),""))</f>
        <v>4.3</v>
      </c>
      <c r="AH7" s="65"/>
      <c r="AI7" s="59" t="str">
        <f aca="false">IF(OR(AH7="",AG7=""),"",IF(AH7&gt;=AG7,"Green",IF(AH7&gt;=AG7*0.9,"Amber","Red")))</f>
        <v/>
      </c>
    </row>
    <row r="8" customFormat="false" ht="19.5" hidden="false" customHeight="true" outlineLevel="0" collapsed="false">
      <c r="B8" s="35" t="n">
        <f aca="false">IF('Dashboard Portfolio'!B7="","",'Dashboard Portfolio'!B7)</f>
        <v>2</v>
      </c>
      <c r="C8" s="37" t="str">
        <f aca="false">IF('Dashboard Portfolio'!C7="","",'Dashboard Portfolio'!C7)</f>
        <v>Finance — AR Aging &amp; Collections</v>
      </c>
      <c r="D8" s="35" t="str">
        <f aca="false">IF('Dashboard Portfolio'!E7="","",'Dashboard Portfolio'!E7)</f>
        <v>Live</v>
      </c>
      <c r="E8" s="59" t="str">
        <f aca="false">IF('Dashboard Portfolio'!F7="","",'Dashboard Portfolio'!F7)</f>
        <v>P2</v>
      </c>
      <c r="F8" s="60" t="n">
        <f aca="false">IF($D8&lt;&gt;"Live","",IFERROR(HLOOKUP($E8,'SLA Tiers'!$C$4:$E$14,2,FALSE()),""))</f>
        <v>0.995</v>
      </c>
      <c r="G8" s="61"/>
      <c r="H8" s="59" t="str">
        <f aca="false">IF(OR(G8="",F8=""),"",IF(G8&gt;=F8,"Green",IF(G8&gt;=F8*0.9,"Amber","Red")))</f>
        <v/>
      </c>
      <c r="I8" s="60" t="n">
        <f aca="false">IF($D8&lt;&gt;"Live","",IFERROR(HLOOKUP($E8,'SLA Tiers'!$C$4:$E$14,3,FALSE()),""))</f>
        <v>0.95</v>
      </c>
      <c r="J8" s="61"/>
      <c r="K8" s="59" t="str">
        <f aca="false">IF(OR(J8="",I8=""),"",IF(J8&gt;=I8,"Green",IF(J8&gt;=I8*0.9,"Amber","Red")))</f>
        <v/>
      </c>
      <c r="L8" s="62" t="n">
        <f aca="false">IF($D8&lt;&gt;"Live","",IFERROR(HLOOKUP($E8,'SLA Tiers'!$C$4:$E$14,4,FALSE()),""))</f>
        <v>2</v>
      </c>
      <c r="M8" s="63"/>
      <c r="N8" s="59" t="str">
        <f aca="false">IF(OR(M8="",L8=""),"",IF(M8&lt;=L8,"Green",IF(M8&lt;=L8*1.1,"Amber","Red")))</f>
        <v/>
      </c>
      <c r="O8" s="64" t="n">
        <f aca="false">IF($D8&lt;&gt;"Live","",IFERROR(HLOOKUP($E8,'SLA Tiers'!$C$4:$E$14,5,FALSE()),""))</f>
        <v>4</v>
      </c>
      <c r="P8" s="65"/>
      <c r="Q8" s="59" t="str">
        <f aca="false">IF(OR(P8="",O8=""),"",IF(P8&lt;=O8,"Green",IF(P8&lt;=O8*1.1,"Amber","Red")))</f>
        <v/>
      </c>
      <c r="R8" s="60" t="n">
        <f aca="false">IF($D8&lt;&gt;"Live","",IFERROR(HLOOKUP($E8,'SLA Tiers'!$C$4:$E$14,6,FALSE()),""))</f>
        <v>0.98</v>
      </c>
      <c r="S8" s="61"/>
      <c r="T8" s="59" t="str">
        <f aca="false">IF(OR(S8="",R8=""),"",IF(S8&gt;=R8,"Green",IF(S8&gt;=R8*0.9,"Amber","Red")))</f>
        <v/>
      </c>
      <c r="U8" s="60" t="n">
        <f aca="false">IF($D8&lt;&gt;"Live","",IFERROR(HLOOKUP($E8,'SLA Tiers'!$C$4:$E$14,7,FALSE()),""))</f>
        <v>0.995</v>
      </c>
      <c r="V8" s="61"/>
      <c r="W8" s="59" t="str">
        <f aca="false">IF(OR(V8="",U8=""),"",IF(V8&gt;=U8,"Green",IF(V8&gt;=U8*0.9,"Amber","Red")))</f>
        <v/>
      </c>
      <c r="X8" s="64" t="n">
        <f aca="false">IF($D8&lt;&gt;"Live","",IFERROR(HLOOKUP($E8,'SLA Tiers'!$C$4:$E$14,8,FALSE()),""))</f>
        <v>5</v>
      </c>
      <c r="Y8" s="65"/>
      <c r="Z8" s="59" t="str">
        <f aca="false">IF(OR(Y8="",X8=""),"",IF(Y8&lt;=X8,"Green",IF(Y8&lt;=X8*1.1,"Amber","Red")))</f>
        <v/>
      </c>
      <c r="AA8" s="64" t="n">
        <f aca="false">IF($D8&lt;&gt;"Live","",IFERROR(HLOOKUP($E8,'SLA Tiers'!$C$4:$E$14,9,FALSE()),""))</f>
        <v>8</v>
      </c>
      <c r="AB8" s="65"/>
      <c r="AC8" s="59" t="str">
        <f aca="false">IF(OR(AB8="",AA8=""),"",IF(AB8&lt;=AA8,"Green",IF(AB8&lt;=AA8*1.1,"Amber","Red")))</f>
        <v/>
      </c>
      <c r="AD8" s="60" t="n">
        <f aca="false">IF($D8&lt;&gt;"Live","",IFERROR(HLOOKUP($E8,'SLA Tiers'!$C$4:$E$14,10,FALSE()),""))</f>
        <v>0.7</v>
      </c>
      <c r="AE8" s="61"/>
      <c r="AF8" s="59" t="str">
        <f aca="false">IF(OR(AE8="",AD8=""),"",IF(AE8&gt;=AD8,"Green",IF(AE8&gt;=AD8*0.9,"Amber","Red")))</f>
        <v/>
      </c>
      <c r="AG8" s="64" t="n">
        <f aca="false">IF($D8&lt;&gt;"Live","",IFERROR(HLOOKUP($E8,'SLA Tiers'!$C$4:$E$14,11,FALSE()),""))</f>
        <v>4</v>
      </c>
      <c r="AH8" s="65"/>
      <c r="AI8" s="59" t="str">
        <f aca="false">IF(OR(AH8="",AG8=""),"",IF(AH8&gt;=AG8,"Green",IF(AH8&gt;=AG8*0.9,"Amber","Red")))</f>
        <v/>
      </c>
    </row>
    <row r="9" customFormat="false" ht="19.5" hidden="false" customHeight="true" outlineLevel="0" collapsed="false">
      <c r="B9" s="35" t="n">
        <f aca="false">IF('Dashboard Portfolio'!B8="","",'Dashboard Portfolio'!B8)</f>
        <v>3</v>
      </c>
      <c r="C9" s="37" t="str">
        <f aca="false">IF('Dashboard Portfolio'!C8="","",'Dashboard Portfolio'!C8)</f>
        <v>Finance — AP Status &amp; Payment Run</v>
      </c>
      <c r="D9" s="35" t="str">
        <f aca="false">IF('Dashboard Portfolio'!E8="","",'Dashboard Portfolio'!E8)</f>
        <v>Live</v>
      </c>
      <c r="E9" s="59" t="str">
        <f aca="false">IF('Dashboard Portfolio'!F8="","",'Dashboard Portfolio'!F8)</f>
        <v>P2</v>
      </c>
      <c r="F9" s="60" t="n">
        <f aca="false">IF($D9&lt;&gt;"Live","",IFERROR(HLOOKUP($E9,'SLA Tiers'!$C$4:$E$14,2,FALSE()),""))</f>
        <v>0.995</v>
      </c>
      <c r="G9" s="61"/>
      <c r="H9" s="59" t="str">
        <f aca="false">IF(OR(G9="",F9=""),"",IF(G9&gt;=F9,"Green",IF(G9&gt;=F9*0.9,"Amber","Red")))</f>
        <v/>
      </c>
      <c r="I9" s="60" t="n">
        <f aca="false">IF($D9&lt;&gt;"Live","",IFERROR(HLOOKUP($E9,'SLA Tiers'!$C$4:$E$14,3,FALSE()),""))</f>
        <v>0.95</v>
      </c>
      <c r="J9" s="61"/>
      <c r="K9" s="59" t="str">
        <f aca="false">IF(OR(J9="",I9=""),"",IF(J9&gt;=I9,"Green",IF(J9&gt;=I9*0.9,"Amber","Red")))</f>
        <v/>
      </c>
      <c r="L9" s="62" t="n">
        <f aca="false">IF($D9&lt;&gt;"Live","",IFERROR(HLOOKUP($E9,'SLA Tiers'!$C$4:$E$14,4,FALSE()),""))</f>
        <v>2</v>
      </c>
      <c r="M9" s="63"/>
      <c r="N9" s="59" t="str">
        <f aca="false">IF(OR(M9="",L9=""),"",IF(M9&lt;=L9,"Green",IF(M9&lt;=L9*1.1,"Amber","Red")))</f>
        <v/>
      </c>
      <c r="O9" s="64" t="n">
        <f aca="false">IF($D9&lt;&gt;"Live","",IFERROR(HLOOKUP($E9,'SLA Tiers'!$C$4:$E$14,5,FALSE()),""))</f>
        <v>4</v>
      </c>
      <c r="P9" s="65"/>
      <c r="Q9" s="59" t="str">
        <f aca="false">IF(OR(P9="",O9=""),"",IF(P9&lt;=O9,"Green",IF(P9&lt;=O9*1.1,"Amber","Red")))</f>
        <v/>
      </c>
      <c r="R9" s="60" t="n">
        <f aca="false">IF($D9&lt;&gt;"Live","",IFERROR(HLOOKUP($E9,'SLA Tiers'!$C$4:$E$14,6,FALSE()),""))</f>
        <v>0.98</v>
      </c>
      <c r="S9" s="61"/>
      <c r="T9" s="59" t="str">
        <f aca="false">IF(OR(S9="",R9=""),"",IF(S9&gt;=R9,"Green",IF(S9&gt;=R9*0.9,"Amber","Red")))</f>
        <v/>
      </c>
      <c r="U9" s="60" t="n">
        <f aca="false">IF($D9&lt;&gt;"Live","",IFERROR(HLOOKUP($E9,'SLA Tiers'!$C$4:$E$14,7,FALSE()),""))</f>
        <v>0.995</v>
      </c>
      <c r="V9" s="61"/>
      <c r="W9" s="59" t="str">
        <f aca="false">IF(OR(V9="",U9=""),"",IF(V9&gt;=U9,"Green",IF(V9&gt;=U9*0.9,"Amber","Red")))</f>
        <v/>
      </c>
      <c r="X9" s="64" t="n">
        <f aca="false">IF($D9&lt;&gt;"Live","",IFERROR(HLOOKUP($E9,'SLA Tiers'!$C$4:$E$14,8,FALSE()),""))</f>
        <v>5</v>
      </c>
      <c r="Y9" s="65"/>
      <c r="Z9" s="59" t="str">
        <f aca="false">IF(OR(Y9="",X9=""),"",IF(Y9&lt;=X9,"Green",IF(Y9&lt;=X9*1.1,"Amber","Red")))</f>
        <v/>
      </c>
      <c r="AA9" s="64" t="n">
        <f aca="false">IF($D9&lt;&gt;"Live","",IFERROR(HLOOKUP($E9,'SLA Tiers'!$C$4:$E$14,9,FALSE()),""))</f>
        <v>8</v>
      </c>
      <c r="AB9" s="65"/>
      <c r="AC9" s="59" t="str">
        <f aca="false">IF(OR(AB9="",AA9=""),"",IF(AB9&lt;=AA9,"Green",IF(AB9&lt;=AA9*1.1,"Amber","Red")))</f>
        <v/>
      </c>
      <c r="AD9" s="60" t="n">
        <f aca="false">IF($D9&lt;&gt;"Live","",IFERROR(HLOOKUP($E9,'SLA Tiers'!$C$4:$E$14,10,FALSE()),""))</f>
        <v>0.7</v>
      </c>
      <c r="AE9" s="61"/>
      <c r="AF9" s="59" t="str">
        <f aca="false">IF(OR(AE9="",AD9=""),"",IF(AE9&gt;=AD9,"Green",IF(AE9&gt;=AD9*0.9,"Amber","Red")))</f>
        <v/>
      </c>
      <c r="AG9" s="64" t="n">
        <f aca="false">IF($D9&lt;&gt;"Live","",IFERROR(HLOOKUP($E9,'SLA Tiers'!$C$4:$E$14,11,FALSE()),""))</f>
        <v>4</v>
      </c>
      <c r="AH9" s="65"/>
      <c r="AI9" s="59" t="str">
        <f aca="false">IF(OR(AH9="",AG9=""),"",IF(AH9&gt;=AG9,"Green",IF(AH9&gt;=AG9*0.9,"Amber","Red")))</f>
        <v/>
      </c>
    </row>
    <row r="10" customFormat="false" ht="19.5" hidden="false" customHeight="true" outlineLevel="0" collapsed="false">
      <c r="B10" s="35" t="n">
        <f aca="false">IF('Dashboard Portfolio'!B9="","",'Dashboard Portfolio'!B9)</f>
        <v>4</v>
      </c>
      <c r="C10" s="37" t="str">
        <f aca="false">IF('Dashboard Portfolio'!C9="","",'Dashboard Portfolio'!C9)</f>
        <v>Finance — Monthly P&amp;L</v>
      </c>
      <c r="D10" s="35" t="str">
        <f aca="false">IF('Dashboard Portfolio'!E9="","",'Dashboard Portfolio'!E9)</f>
        <v>Live</v>
      </c>
      <c r="E10" s="59" t="str">
        <f aca="false">IF('Dashboard Portfolio'!F9="","",'Dashboard Portfolio'!F9)</f>
        <v>P1</v>
      </c>
      <c r="F10" s="60" t="n">
        <f aca="false">IF($D10&lt;&gt;"Live","",IFERROR(HLOOKUP($E10,'SLA Tiers'!$C$4:$E$14,2,FALSE()),""))</f>
        <v>0.999</v>
      </c>
      <c r="G10" s="61"/>
      <c r="H10" s="59" t="str">
        <f aca="false">IF(OR(G10="",F10=""),"",IF(G10&gt;=F10,"Green",IF(G10&gt;=F10*0.9,"Amber","Red")))</f>
        <v/>
      </c>
      <c r="I10" s="60" t="n">
        <f aca="false">IF($D10&lt;&gt;"Live","",IFERROR(HLOOKUP($E10,'SLA Tiers'!$C$4:$E$14,3,FALSE()),""))</f>
        <v>0.99</v>
      </c>
      <c r="J10" s="61"/>
      <c r="K10" s="59" t="str">
        <f aca="false">IF(OR(J10="",I10=""),"",IF(J10&gt;=I10,"Green",IF(J10&gt;=I10*0.9,"Amber","Red")))</f>
        <v/>
      </c>
      <c r="L10" s="62" t="n">
        <f aca="false">IF($D10&lt;&gt;"Live","",IFERROR(HLOOKUP($E10,'SLA Tiers'!$C$4:$E$14,4,FALSE()),""))</f>
        <v>0</v>
      </c>
      <c r="M10" s="63"/>
      <c r="N10" s="59" t="str">
        <f aca="false">IF(OR(M10="",L10=""),"",IF(M10&lt;=L10,"Green",IF(M10&lt;=L10*1.1,"Amber","Red")))</f>
        <v/>
      </c>
      <c r="O10" s="64" t="n">
        <f aca="false">IF($D10&lt;&gt;"Live","",IFERROR(HLOOKUP($E10,'SLA Tiers'!$C$4:$E$14,5,FALSE()),""))</f>
        <v>2</v>
      </c>
      <c r="P10" s="65"/>
      <c r="Q10" s="59" t="str">
        <f aca="false">IF(OR(P10="",O10=""),"",IF(P10&lt;=O10,"Green",IF(P10&lt;=O10*1.1,"Amber","Red")))</f>
        <v/>
      </c>
      <c r="R10" s="60" t="n">
        <f aca="false">IF($D10&lt;&gt;"Live","",IFERROR(HLOOKUP($E10,'SLA Tiers'!$C$4:$E$14,6,FALSE()),""))</f>
        <v>0.99</v>
      </c>
      <c r="S10" s="61"/>
      <c r="T10" s="59" t="str">
        <f aca="false">IF(OR(S10="",R10=""),"",IF(S10&gt;=R10,"Green",IF(S10&gt;=R10*0.9,"Amber","Red")))</f>
        <v/>
      </c>
      <c r="U10" s="60" t="n">
        <f aca="false">IF($D10&lt;&gt;"Live","",IFERROR(HLOOKUP($E10,'SLA Tiers'!$C$4:$E$14,7,FALSE()),""))</f>
        <v>0.999</v>
      </c>
      <c r="V10" s="61"/>
      <c r="W10" s="59" t="str">
        <f aca="false">IF(OR(V10="",U10=""),"",IF(V10&gt;=U10,"Green",IF(V10&gt;=U10*0.9,"Amber","Red")))</f>
        <v/>
      </c>
      <c r="X10" s="64" t="n">
        <f aca="false">IF($D10&lt;&gt;"Live","",IFERROR(HLOOKUP($E10,'SLA Tiers'!$C$4:$E$14,8,FALSE()),""))</f>
        <v>3</v>
      </c>
      <c r="Y10" s="65"/>
      <c r="Z10" s="59" t="str">
        <f aca="false">IF(OR(Y10="",X10=""),"",IF(Y10&lt;=X10,"Green",IF(Y10&lt;=X10*1.1,"Amber","Red")))</f>
        <v/>
      </c>
      <c r="AA10" s="64" t="n">
        <f aca="false">IF($D10&lt;&gt;"Live","",IFERROR(HLOOKUP($E10,'SLA Tiers'!$C$4:$E$14,9,FALSE()),""))</f>
        <v>4</v>
      </c>
      <c r="AB10" s="65"/>
      <c r="AC10" s="59" t="str">
        <f aca="false">IF(OR(AB10="",AA10=""),"",IF(AB10&lt;=AA10,"Green",IF(AB10&lt;=AA10*1.1,"Amber","Red")))</f>
        <v/>
      </c>
      <c r="AD10" s="60" t="n">
        <f aca="false">IF($D10&lt;&gt;"Live","",IFERROR(HLOOKUP($E10,'SLA Tiers'!$C$4:$E$14,10,FALSE()),""))</f>
        <v>0.8</v>
      </c>
      <c r="AE10" s="61"/>
      <c r="AF10" s="59" t="str">
        <f aca="false">IF(OR(AE10="",AD10=""),"",IF(AE10&gt;=AD10,"Green",IF(AE10&gt;=AD10*0.9,"Amber","Red")))</f>
        <v/>
      </c>
      <c r="AG10" s="64" t="n">
        <f aca="false">IF($D10&lt;&gt;"Live","",IFERROR(HLOOKUP($E10,'SLA Tiers'!$C$4:$E$14,11,FALSE()),""))</f>
        <v>4.3</v>
      </c>
      <c r="AH10" s="65"/>
      <c r="AI10" s="59" t="str">
        <f aca="false">IF(OR(AH10="",AG10=""),"",IF(AH10&gt;=AG10,"Green",IF(AH10&gt;=AG10*0.9,"Amber","Red")))</f>
        <v/>
      </c>
    </row>
    <row r="11" customFormat="false" ht="19.5" hidden="false" customHeight="true" outlineLevel="0" collapsed="false">
      <c r="B11" s="35" t="n">
        <f aca="false">IF('Dashboard Portfolio'!B10="","",'Dashboard Portfolio'!B10)</f>
        <v>5</v>
      </c>
      <c r="C11" s="37" t="str">
        <f aca="false">IF('Dashboard Portfolio'!C10="","",'Dashboard Portfolio'!C10)</f>
        <v>Finance — Budget vs Actual</v>
      </c>
      <c r="D11" s="35" t="str">
        <f aca="false">IF('Dashboard Portfolio'!E10="","",'Dashboard Portfolio'!E10)</f>
        <v>Live</v>
      </c>
      <c r="E11" s="59" t="str">
        <f aca="false">IF('Dashboard Portfolio'!F10="","",'Dashboard Portfolio'!F10)</f>
        <v>P2</v>
      </c>
      <c r="F11" s="60" t="n">
        <f aca="false">IF($D11&lt;&gt;"Live","",IFERROR(HLOOKUP($E11,'SLA Tiers'!$C$4:$E$14,2,FALSE()),""))</f>
        <v>0.995</v>
      </c>
      <c r="G11" s="61"/>
      <c r="H11" s="59" t="str">
        <f aca="false">IF(OR(G11="",F11=""),"",IF(G11&gt;=F11,"Green",IF(G11&gt;=F11*0.9,"Amber","Red")))</f>
        <v/>
      </c>
      <c r="I11" s="60" t="n">
        <f aca="false">IF($D11&lt;&gt;"Live","",IFERROR(HLOOKUP($E11,'SLA Tiers'!$C$4:$E$14,3,FALSE()),""))</f>
        <v>0.95</v>
      </c>
      <c r="J11" s="61"/>
      <c r="K11" s="59" t="str">
        <f aca="false">IF(OR(J11="",I11=""),"",IF(J11&gt;=I11,"Green",IF(J11&gt;=I11*0.9,"Amber","Red")))</f>
        <v/>
      </c>
      <c r="L11" s="62" t="n">
        <f aca="false">IF($D11&lt;&gt;"Live","",IFERROR(HLOOKUP($E11,'SLA Tiers'!$C$4:$E$14,4,FALSE()),""))</f>
        <v>2</v>
      </c>
      <c r="M11" s="63"/>
      <c r="N11" s="59" t="str">
        <f aca="false">IF(OR(M11="",L11=""),"",IF(M11&lt;=L11,"Green",IF(M11&lt;=L11*1.1,"Amber","Red")))</f>
        <v/>
      </c>
      <c r="O11" s="64" t="n">
        <f aca="false">IF($D11&lt;&gt;"Live","",IFERROR(HLOOKUP($E11,'SLA Tiers'!$C$4:$E$14,5,FALSE()),""))</f>
        <v>4</v>
      </c>
      <c r="P11" s="65"/>
      <c r="Q11" s="59" t="str">
        <f aca="false">IF(OR(P11="",O11=""),"",IF(P11&lt;=O11,"Green",IF(P11&lt;=O11*1.1,"Amber","Red")))</f>
        <v/>
      </c>
      <c r="R11" s="60" t="n">
        <f aca="false">IF($D11&lt;&gt;"Live","",IFERROR(HLOOKUP($E11,'SLA Tiers'!$C$4:$E$14,6,FALSE()),""))</f>
        <v>0.98</v>
      </c>
      <c r="S11" s="61"/>
      <c r="T11" s="59" t="str">
        <f aca="false">IF(OR(S11="",R11=""),"",IF(S11&gt;=R11,"Green",IF(S11&gt;=R11*0.9,"Amber","Red")))</f>
        <v/>
      </c>
      <c r="U11" s="60" t="n">
        <f aca="false">IF($D11&lt;&gt;"Live","",IFERROR(HLOOKUP($E11,'SLA Tiers'!$C$4:$E$14,7,FALSE()),""))</f>
        <v>0.995</v>
      </c>
      <c r="V11" s="61"/>
      <c r="W11" s="59" t="str">
        <f aca="false">IF(OR(V11="",U11=""),"",IF(V11&gt;=U11,"Green",IF(V11&gt;=U11*0.9,"Amber","Red")))</f>
        <v/>
      </c>
      <c r="X11" s="64" t="n">
        <f aca="false">IF($D11&lt;&gt;"Live","",IFERROR(HLOOKUP($E11,'SLA Tiers'!$C$4:$E$14,8,FALSE()),""))</f>
        <v>5</v>
      </c>
      <c r="Y11" s="65"/>
      <c r="Z11" s="59" t="str">
        <f aca="false">IF(OR(Y11="",X11=""),"",IF(Y11&lt;=X11,"Green",IF(Y11&lt;=X11*1.1,"Amber","Red")))</f>
        <v/>
      </c>
      <c r="AA11" s="64" t="n">
        <f aca="false">IF($D11&lt;&gt;"Live","",IFERROR(HLOOKUP($E11,'SLA Tiers'!$C$4:$E$14,9,FALSE()),""))</f>
        <v>8</v>
      </c>
      <c r="AB11" s="65"/>
      <c r="AC11" s="59" t="str">
        <f aca="false">IF(OR(AB11="",AA11=""),"",IF(AB11&lt;=AA11,"Green",IF(AB11&lt;=AA11*1.1,"Amber","Red")))</f>
        <v/>
      </c>
      <c r="AD11" s="60" t="n">
        <f aca="false">IF($D11&lt;&gt;"Live","",IFERROR(HLOOKUP($E11,'SLA Tiers'!$C$4:$E$14,10,FALSE()),""))</f>
        <v>0.7</v>
      </c>
      <c r="AE11" s="61"/>
      <c r="AF11" s="59" t="str">
        <f aca="false">IF(OR(AE11="",AD11=""),"",IF(AE11&gt;=AD11,"Green",IF(AE11&gt;=AD11*0.9,"Amber","Red")))</f>
        <v/>
      </c>
      <c r="AG11" s="64" t="n">
        <f aca="false">IF($D11&lt;&gt;"Live","",IFERROR(HLOOKUP($E11,'SLA Tiers'!$C$4:$E$14,11,FALSE()),""))</f>
        <v>4</v>
      </c>
      <c r="AH11" s="65"/>
      <c r="AI11" s="59" t="str">
        <f aca="false">IF(OR(AH11="",AG11=""),"",IF(AH11&gt;=AG11,"Green",IF(AH11&gt;=AG11*0.9,"Amber","Red")))</f>
        <v/>
      </c>
    </row>
    <row r="12" customFormat="false" ht="19.5" hidden="false" customHeight="true" outlineLevel="0" collapsed="false">
      <c r="B12" s="35" t="n">
        <f aca="false">IF('Dashboard Portfolio'!B11="","",'Dashboard Portfolio'!B11)</f>
        <v>6</v>
      </c>
      <c r="C12" s="37" t="str">
        <f aca="false">IF('Dashboard Portfolio'!C11="","",'Dashboard Portfolio'!C11)</f>
        <v>Operations — Property Occupancy</v>
      </c>
      <c r="D12" s="35" t="str">
        <f aca="false">IF('Dashboard Portfolio'!E11="","",'Dashboard Portfolio'!E11)</f>
        <v>Live</v>
      </c>
      <c r="E12" s="59" t="str">
        <f aca="false">IF('Dashboard Portfolio'!F11="","",'Dashboard Portfolio'!F11)</f>
        <v>P1</v>
      </c>
      <c r="F12" s="60" t="n">
        <f aca="false">IF($D12&lt;&gt;"Live","",IFERROR(HLOOKUP($E12,'SLA Tiers'!$C$4:$E$14,2,FALSE()),""))</f>
        <v>0.999</v>
      </c>
      <c r="G12" s="61"/>
      <c r="H12" s="59" t="str">
        <f aca="false">IF(OR(G12="",F12=""),"",IF(G12&gt;=F12,"Green",IF(G12&gt;=F12*0.9,"Amber","Red")))</f>
        <v/>
      </c>
      <c r="I12" s="60" t="n">
        <f aca="false">IF($D12&lt;&gt;"Live","",IFERROR(HLOOKUP($E12,'SLA Tiers'!$C$4:$E$14,3,FALSE()),""))</f>
        <v>0.99</v>
      </c>
      <c r="J12" s="61"/>
      <c r="K12" s="59" t="str">
        <f aca="false">IF(OR(J12="",I12=""),"",IF(J12&gt;=I12,"Green",IF(J12&gt;=I12*0.9,"Amber","Red")))</f>
        <v/>
      </c>
      <c r="L12" s="62" t="n">
        <f aca="false">IF($D12&lt;&gt;"Live","",IFERROR(HLOOKUP($E12,'SLA Tiers'!$C$4:$E$14,4,FALSE()),""))</f>
        <v>0</v>
      </c>
      <c r="M12" s="63"/>
      <c r="N12" s="59" t="str">
        <f aca="false">IF(OR(M12="",L12=""),"",IF(M12&lt;=L12,"Green",IF(M12&lt;=L12*1.1,"Amber","Red")))</f>
        <v/>
      </c>
      <c r="O12" s="64" t="n">
        <f aca="false">IF($D12&lt;&gt;"Live","",IFERROR(HLOOKUP($E12,'SLA Tiers'!$C$4:$E$14,5,FALSE()),""))</f>
        <v>2</v>
      </c>
      <c r="P12" s="65"/>
      <c r="Q12" s="59" t="str">
        <f aca="false">IF(OR(P12="",O12=""),"",IF(P12&lt;=O12,"Green",IF(P12&lt;=O12*1.1,"Amber","Red")))</f>
        <v/>
      </c>
      <c r="R12" s="60" t="n">
        <f aca="false">IF($D12&lt;&gt;"Live","",IFERROR(HLOOKUP($E12,'SLA Tiers'!$C$4:$E$14,6,FALSE()),""))</f>
        <v>0.99</v>
      </c>
      <c r="S12" s="61"/>
      <c r="T12" s="59" t="str">
        <f aca="false">IF(OR(S12="",R12=""),"",IF(S12&gt;=R12,"Green",IF(S12&gt;=R12*0.9,"Amber","Red")))</f>
        <v/>
      </c>
      <c r="U12" s="60" t="n">
        <f aca="false">IF($D12&lt;&gt;"Live","",IFERROR(HLOOKUP($E12,'SLA Tiers'!$C$4:$E$14,7,FALSE()),""))</f>
        <v>0.999</v>
      </c>
      <c r="V12" s="61"/>
      <c r="W12" s="59" t="str">
        <f aca="false">IF(OR(V12="",U12=""),"",IF(V12&gt;=U12,"Green",IF(V12&gt;=U12*0.9,"Amber","Red")))</f>
        <v/>
      </c>
      <c r="X12" s="64" t="n">
        <f aca="false">IF($D12&lt;&gt;"Live","",IFERROR(HLOOKUP($E12,'SLA Tiers'!$C$4:$E$14,8,FALSE()),""))</f>
        <v>3</v>
      </c>
      <c r="Y12" s="65"/>
      <c r="Z12" s="59" t="str">
        <f aca="false">IF(OR(Y12="",X12=""),"",IF(Y12&lt;=X12,"Green",IF(Y12&lt;=X12*1.1,"Amber","Red")))</f>
        <v/>
      </c>
      <c r="AA12" s="64" t="n">
        <f aca="false">IF($D12&lt;&gt;"Live","",IFERROR(HLOOKUP($E12,'SLA Tiers'!$C$4:$E$14,9,FALSE()),""))</f>
        <v>4</v>
      </c>
      <c r="AB12" s="65"/>
      <c r="AC12" s="59" t="str">
        <f aca="false">IF(OR(AB12="",AA12=""),"",IF(AB12&lt;=AA12,"Green",IF(AB12&lt;=AA12*1.1,"Amber","Red")))</f>
        <v/>
      </c>
      <c r="AD12" s="60" t="n">
        <f aca="false">IF($D12&lt;&gt;"Live","",IFERROR(HLOOKUP($E12,'SLA Tiers'!$C$4:$E$14,10,FALSE()),""))</f>
        <v>0.8</v>
      </c>
      <c r="AE12" s="61"/>
      <c r="AF12" s="59" t="str">
        <f aca="false">IF(OR(AE12="",AD12=""),"",IF(AE12&gt;=AD12,"Green",IF(AE12&gt;=AD12*0.9,"Amber","Red")))</f>
        <v/>
      </c>
      <c r="AG12" s="64" t="n">
        <f aca="false">IF($D12&lt;&gt;"Live","",IFERROR(HLOOKUP($E12,'SLA Tiers'!$C$4:$E$14,11,FALSE()),""))</f>
        <v>4.3</v>
      </c>
      <c r="AH12" s="65"/>
      <c r="AI12" s="59" t="str">
        <f aca="false">IF(OR(AH12="",AG12=""),"",IF(AH12&gt;=AG12,"Green",IF(AH12&gt;=AG12*0.9,"Amber","Red")))</f>
        <v/>
      </c>
    </row>
    <row r="13" customFormat="false" ht="19.5" hidden="false" customHeight="true" outlineLevel="0" collapsed="false">
      <c r="B13" s="35" t="n">
        <f aca="false">IF('Dashboard Portfolio'!B12="","",'Dashboard Portfolio'!B12)</f>
        <v>7</v>
      </c>
      <c r="C13" s="37" t="str">
        <f aca="false">IF('Dashboard Portfolio'!C12="","",'Dashboard Portfolio'!C12)</f>
        <v>Operations — Lease Renewals &amp; Expiries</v>
      </c>
      <c r="D13" s="35" t="str">
        <f aca="false">IF('Dashboard Portfolio'!E12="","",'Dashboard Portfolio'!E12)</f>
        <v>Live</v>
      </c>
      <c r="E13" s="59" t="str">
        <f aca="false">IF('Dashboard Portfolio'!F12="","",'Dashboard Portfolio'!F12)</f>
        <v>P2</v>
      </c>
      <c r="F13" s="60" t="n">
        <f aca="false">IF($D13&lt;&gt;"Live","",IFERROR(HLOOKUP($E13,'SLA Tiers'!$C$4:$E$14,2,FALSE()),""))</f>
        <v>0.995</v>
      </c>
      <c r="G13" s="61"/>
      <c r="H13" s="59" t="str">
        <f aca="false">IF(OR(G13="",F13=""),"",IF(G13&gt;=F13,"Green",IF(G13&gt;=F13*0.9,"Amber","Red")))</f>
        <v/>
      </c>
      <c r="I13" s="60" t="n">
        <f aca="false">IF($D13&lt;&gt;"Live","",IFERROR(HLOOKUP($E13,'SLA Tiers'!$C$4:$E$14,3,FALSE()),""))</f>
        <v>0.95</v>
      </c>
      <c r="J13" s="61"/>
      <c r="K13" s="59" t="str">
        <f aca="false">IF(OR(J13="",I13=""),"",IF(J13&gt;=I13,"Green",IF(J13&gt;=I13*0.9,"Amber","Red")))</f>
        <v/>
      </c>
      <c r="L13" s="62" t="n">
        <f aca="false">IF($D13&lt;&gt;"Live","",IFERROR(HLOOKUP($E13,'SLA Tiers'!$C$4:$E$14,4,FALSE()),""))</f>
        <v>2</v>
      </c>
      <c r="M13" s="63"/>
      <c r="N13" s="59" t="str">
        <f aca="false">IF(OR(M13="",L13=""),"",IF(M13&lt;=L13,"Green",IF(M13&lt;=L13*1.1,"Amber","Red")))</f>
        <v/>
      </c>
      <c r="O13" s="64" t="n">
        <f aca="false">IF($D13&lt;&gt;"Live","",IFERROR(HLOOKUP($E13,'SLA Tiers'!$C$4:$E$14,5,FALSE()),""))</f>
        <v>4</v>
      </c>
      <c r="P13" s="65"/>
      <c r="Q13" s="59" t="str">
        <f aca="false">IF(OR(P13="",O13=""),"",IF(P13&lt;=O13,"Green",IF(P13&lt;=O13*1.1,"Amber","Red")))</f>
        <v/>
      </c>
      <c r="R13" s="60" t="n">
        <f aca="false">IF($D13&lt;&gt;"Live","",IFERROR(HLOOKUP($E13,'SLA Tiers'!$C$4:$E$14,6,FALSE()),""))</f>
        <v>0.98</v>
      </c>
      <c r="S13" s="61"/>
      <c r="T13" s="59" t="str">
        <f aca="false">IF(OR(S13="",R13=""),"",IF(S13&gt;=R13,"Green",IF(S13&gt;=R13*0.9,"Amber","Red")))</f>
        <v/>
      </c>
      <c r="U13" s="60" t="n">
        <f aca="false">IF($D13&lt;&gt;"Live","",IFERROR(HLOOKUP($E13,'SLA Tiers'!$C$4:$E$14,7,FALSE()),""))</f>
        <v>0.995</v>
      </c>
      <c r="V13" s="61"/>
      <c r="W13" s="59" t="str">
        <f aca="false">IF(OR(V13="",U13=""),"",IF(V13&gt;=U13,"Green",IF(V13&gt;=U13*0.9,"Amber","Red")))</f>
        <v/>
      </c>
      <c r="X13" s="64" t="n">
        <f aca="false">IF($D13&lt;&gt;"Live","",IFERROR(HLOOKUP($E13,'SLA Tiers'!$C$4:$E$14,8,FALSE()),""))</f>
        <v>5</v>
      </c>
      <c r="Y13" s="65"/>
      <c r="Z13" s="59" t="str">
        <f aca="false">IF(OR(Y13="",X13=""),"",IF(Y13&lt;=X13,"Green",IF(Y13&lt;=X13*1.1,"Amber","Red")))</f>
        <v/>
      </c>
      <c r="AA13" s="64" t="n">
        <f aca="false">IF($D13&lt;&gt;"Live","",IFERROR(HLOOKUP($E13,'SLA Tiers'!$C$4:$E$14,9,FALSE()),""))</f>
        <v>8</v>
      </c>
      <c r="AB13" s="65"/>
      <c r="AC13" s="59" t="str">
        <f aca="false">IF(OR(AB13="",AA13=""),"",IF(AB13&lt;=AA13,"Green",IF(AB13&lt;=AA13*1.1,"Amber","Red")))</f>
        <v/>
      </c>
      <c r="AD13" s="60" t="n">
        <f aca="false">IF($D13&lt;&gt;"Live","",IFERROR(HLOOKUP($E13,'SLA Tiers'!$C$4:$E$14,10,FALSE()),""))</f>
        <v>0.7</v>
      </c>
      <c r="AE13" s="61"/>
      <c r="AF13" s="59" t="str">
        <f aca="false">IF(OR(AE13="",AD13=""),"",IF(AE13&gt;=AD13,"Green",IF(AE13&gt;=AD13*0.9,"Amber","Red")))</f>
        <v/>
      </c>
      <c r="AG13" s="64" t="n">
        <f aca="false">IF($D13&lt;&gt;"Live","",IFERROR(HLOOKUP($E13,'SLA Tiers'!$C$4:$E$14,11,FALSE()),""))</f>
        <v>4</v>
      </c>
      <c r="AH13" s="65"/>
      <c r="AI13" s="59" t="str">
        <f aca="false">IF(OR(AH13="",AG13=""),"",IF(AH13&gt;=AG13,"Green",IF(AH13&gt;=AG13*0.9,"Amber","Red")))</f>
        <v/>
      </c>
    </row>
    <row r="14" customFormat="false" ht="19.5" hidden="false" customHeight="true" outlineLevel="0" collapsed="false">
      <c r="B14" s="35" t="n">
        <f aca="false">IF('Dashboard Portfolio'!B13="","",'Dashboard Portfolio'!B13)</f>
        <v>8</v>
      </c>
      <c r="C14" s="37" t="str">
        <f aca="false">IF('Dashboard Portfolio'!C13="","",'Dashboard Portfolio'!C13)</f>
        <v>Operations — Revenue by Asset</v>
      </c>
      <c r="D14" s="35" t="str">
        <f aca="false">IF('Dashboard Portfolio'!E13="","",'Dashboard Portfolio'!E13)</f>
        <v>Live</v>
      </c>
      <c r="E14" s="59" t="str">
        <f aca="false">IF('Dashboard Portfolio'!F13="","",'Dashboard Portfolio'!F13)</f>
        <v>P1</v>
      </c>
      <c r="F14" s="60" t="n">
        <f aca="false">IF($D14&lt;&gt;"Live","",IFERROR(HLOOKUP($E14,'SLA Tiers'!$C$4:$E$14,2,FALSE()),""))</f>
        <v>0.999</v>
      </c>
      <c r="G14" s="61"/>
      <c r="H14" s="59" t="str">
        <f aca="false">IF(OR(G14="",F14=""),"",IF(G14&gt;=F14,"Green",IF(G14&gt;=F14*0.9,"Amber","Red")))</f>
        <v/>
      </c>
      <c r="I14" s="60" t="n">
        <f aca="false">IF($D14&lt;&gt;"Live","",IFERROR(HLOOKUP($E14,'SLA Tiers'!$C$4:$E$14,3,FALSE()),""))</f>
        <v>0.99</v>
      </c>
      <c r="J14" s="61"/>
      <c r="K14" s="59" t="str">
        <f aca="false">IF(OR(J14="",I14=""),"",IF(J14&gt;=I14,"Green",IF(J14&gt;=I14*0.9,"Amber","Red")))</f>
        <v/>
      </c>
      <c r="L14" s="62" t="n">
        <f aca="false">IF($D14&lt;&gt;"Live","",IFERROR(HLOOKUP($E14,'SLA Tiers'!$C$4:$E$14,4,FALSE()),""))</f>
        <v>0</v>
      </c>
      <c r="M14" s="63"/>
      <c r="N14" s="59" t="str">
        <f aca="false">IF(OR(M14="",L14=""),"",IF(M14&lt;=L14,"Green",IF(M14&lt;=L14*1.1,"Amber","Red")))</f>
        <v/>
      </c>
      <c r="O14" s="64" t="n">
        <f aca="false">IF($D14&lt;&gt;"Live","",IFERROR(HLOOKUP($E14,'SLA Tiers'!$C$4:$E$14,5,FALSE()),""))</f>
        <v>2</v>
      </c>
      <c r="P14" s="65"/>
      <c r="Q14" s="59" t="str">
        <f aca="false">IF(OR(P14="",O14=""),"",IF(P14&lt;=O14,"Green",IF(P14&lt;=O14*1.1,"Amber","Red")))</f>
        <v/>
      </c>
      <c r="R14" s="60" t="n">
        <f aca="false">IF($D14&lt;&gt;"Live","",IFERROR(HLOOKUP($E14,'SLA Tiers'!$C$4:$E$14,6,FALSE()),""))</f>
        <v>0.99</v>
      </c>
      <c r="S14" s="61"/>
      <c r="T14" s="59" t="str">
        <f aca="false">IF(OR(S14="",R14=""),"",IF(S14&gt;=R14,"Green",IF(S14&gt;=R14*0.9,"Amber","Red")))</f>
        <v/>
      </c>
      <c r="U14" s="60" t="n">
        <f aca="false">IF($D14&lt;&gt;"Live","",IFERROR(HLOOKUP($E14,'SLA Tiers'!$C$4:$E$14,7,FALSE()),""))</f>
        <v>0.999</v>
      </c>
      <c r="V14" s="61"/>
      <c r="W14" s="59" t="str">
        <f aca="false">IF(OR(V14="",U14=""),"",IF(V14&gt;=U14,"Green",IF(V14&gt;=U14*0.9,"Amber","Red")))</f>
        <v/>
      </c>
      <c r="X14" s="64" t="n">
        <f aca="false">IF($D14&lt;&gt;"Live","",IFERROR(HLOOKUP($E14,'SLA Tiers'!$C$4:$E$14,8,FALSE()),""))</f>
        <v>3</v>
      </c>
      <c r="Y14" s="65"/>
      <c r="Z14" s="59" t="str">
        <f aca="false">IF(OR(Y14="",X14=""),"",IF(Y14&lt;=X14,"Green",IF(Y14&lt;=X14*1.1,"Amber","Red")))</f>
        <v/>
      </c>
      <c r="AA14" s="64" t="n">
        <f aca="false">IF($D14&lt;&gt;"Live","",IFERROR(HLOOKUP($E14,'SLA Tiers'!$C$4:$E$14,9,FALSE()),""))</f>
        <v>4</v>
      </c>
      <c r="AB14" s="65"/>
      <c r="AC14" s="59" t="str">
        <f aca="false">IF(OR(AB14="",AA14=""),"",IF(AB14&lt;=AA14,"Green",IF(AB14&lt;=AA14*1.1,"Amber","Red")))</f>
        <v/>
      </c>
      <c r="AD14" s="60" t="n">
        <f aca="false">IF($D14&lt;&gt;"Live","",IFERROR(HLOOKUP($E14,'SLA Tiers'!$C$4:$E$14,10,FALSE()),""))</f>
        <v>0.8</v>
      </c>
      <c r="AE14" s="61"/>
      <c r="AF14" s="59" t="str">
        <f aca="false">IF(OR(AE14="",AD14=""),"",IF(AE14&gt;=AD14,"Green",IF(AE14&gt;=AD14*0.9,"Amber","Red")))</f>
        <v/>
      </c>
      <c r="AG14" s="64" t="n">
        <f aca="false">IF($D14&lt;&gt;"Live","",IFERROR(HLOOKUP($E14,'SLA Tiers'!$C$4:$E$14,11,FALSE()),""))</f>
        <v>4.3</v>
      </c>
      <c r="AH14" s="65"/>
      <c r="AI14" s="59" t="str">
        <f aca="false">IF(OR(AH14="",AG14=""),"",IF(AH14&gt;=AG14,"Green",IF(AH14&gt;=AG14*0.9,"Amber","Red")))</f>
        <v/>
      </c>
    </row>
    <row r="15" customFormat="false" ht="19.5" hidden="false" customHeight="true" outlineLevel="0" collapsed="false">
      <c r="B15" s="35" t="n">
        <f aca="false">IF('Dashboard Portfolio'!B14="","",'Dashboard Portfolio'!B14)</f>
        <v>9</v>
      </c>
      <c r="C15" s="37" t="str">
        <f aca="false">IF('Dashboard Portfolio'!C14="","",'Dashboard Portfolio'!C14)</f>
        <v>Operations — Maintenance Tickets</v>
      </c>
      <c r="D15" s="35" t="str">
        <f aca="false">IF('Dashboard Portfolio'!E14="","",'Dashboard Portfolio'!E14)</f>
        <v>Live</v>
      </c>
      <c r="E15" s="59" t="str">
        <f aca="false">IF('Dashboard Portfolio'!F14="","",'Dashboard Portfolio'!F14)</f>
        <v>P2</v>
      </c>
      <c r="F15" s="60" t="n">
        <f aca="false">IF($D15&lt;&gt;"Live","",IFERROR(HLOOKUP($E15,'SLA Tiers'!$C$4:$E$14,2,FALSE()),""))</f>
        <v>0.995</v>
      </c>
      <c r="G15" s="61"/>
      <c r="H15" s="59" t="str">
        <f aca="false">IF(OR(G15="",F15=""),"",IF(G15&gt;=F15,"Green",IF(G15&gt;=F15*0.9,"Amber","Red")))</f>
        <v/>
      </c>
      <c r="I15" s="60" t="n">
        <f aca="false">IF($D15&lt;&gt;"Live","",IFERROR(HLOOKUP($E15,'SLA Tiers'!$C$4:$E$14,3,FALSE()),""))</f>
        <v>0.95</v>
      </c>
      <c r="J15" s="61"/>
      <c r="K15" s="59" t="str">
        <f aca="false">IF(OR(J15="",I15=""),"",IF(J15&gt;=I15,"Green",IF(J15&gt;=I15*0.9,"Amber","Red")))</f>
        <v/>
      </c>
      <c r="L15" s="62" t="n">
        <f aca="false">IF($D15&lt;&gt;"Live","",IFERROR(HLOOKUP($E15,'SLA Tiers'!$C$4:$E$14,4,FALSE()),""))</f>
        <v>2</v>
      </c>
      <c r="M15" s="63"/>
      <c r="N15" s="59" t="str">
        <f aca="false">IF(OR(M15="",L15=""),"",IF(M15&lt;=L15,"Green",IF(M15&lt;=L15*1.1,"Amber","Red")))</f>
        <v/>
      </c>
      <c r="O15" s="64" t="n">
        <f aca="false">IF($D15&lt;&gt;"Live","",IFERROR(HLOOKUP($E15,'SLA Tiers'!$C$4:$E$14,5,FALSE()),""))</f>
        <v>4</v>
      </c>
      <c r="P15" s="65"/>
      <c r="Q15" s="59" t="str">
        <f aca="false">IF(OR(P15="",O15=""),"",IF(P15&lt;=O15,"Green",IF(P15&lt;=O15*1.1,"Amber","Red")))</f>
        <v/>
      </c>
      <c r="R15" s="60" t="n">
        <f aca="false">IF($D15&lt;&gt;"Live","",IFERROR(HLOOKUP($E15,'SLA Tiers'!$C$4:$E$14,6,FALSE()),""))</f>
        <v>0.98</v>
      </c>
      <c r="S15" s="61"/>
      <c r="T15" s="59" t="str">
        <f aca="false">IF(OR(S15="",R15=""),"",IF(S15&gt;=R15,"Green",IF(S15&gt;=R15*0.9,"Amber","Red")))</f>
        <v/>
      </c>
      <c r="U15" s="60" t="n">
        <f aca="false">IF($D15&lt;&gt;"Live","",IFERROR(HLOOKUP($E15,'SLA Tiers'!$C$4:$E$14,7,FALSE()),""))</f>
        <v>0.995</v>
      </c>
      <c r="V15" s="61"/>
      <c r="W15" s="59" t="str">
        <f aca="false">IF(OR(V15="",U15=""),"",IF(V15&gt;=U15,"Green",IF(V15&gt;=U15*0.9,"Amber","Red")))</f>
        <v/>
      </c>
      <c r="X15" s="64" t="n">
        <f aca="false">IF($D15&lt;&gt;"Live","",IFERROR(HLOOKUP($E15,'SLA Tiers'!$C$4:$E$14,8,FALSE()),""))</f>
        <v>5</v>
      </c>
      <c r="Y15" s="65"/>
      <c r="Z15" s="59" t="str">
        <f aca="false">IF(OR(Y15="",X15=""),"",IF(Y15&lt;=X15,"Green",IF(Y15&lt;=X15*1.1,"Amber","Red")))</f>
        <v/>
      </c>
      <c r="AA15" s="64" t="n">
        <f aca="false">IF($D15&lt;&gt;"Live","",IFERROR(HLOOKUP($E15,'SLA Tiers'!$C$4:$E$14,9,FALSE()),""))</f>
        <v>8</v>
      </c>
      <c r="AB15" s="65"/>
      <c r="AC15" s="59" t="str">
        <f aca="false">IF(OR(AB15="",AA15=""),"",IF(AB15&lt;=AA15,"Green",IF(AB15&lt;=AA15*1.1,"Amber","Red")))</f>
        <v/>
      </c>
      <c r="AD15" s="60" t="n">
        <f aca="false">IF($D15&lt;&gt;"Live","",IFERROR(HLOOKUP($E15,'SLA Tiers'!$C$4:$E$14,10,FALSE()),""))</f>
        <v>0.7</v>
      </c>
      <c r="AE15" s="61"/>
      <c r="AF15" s="59" t="str">
        <f aca="false">IF(OR(AE15="",AD15=""),"",IF(AE15&gt;=AD15,"Green",IF(AE15&gt;=AD15*0.9,"Amber","Red")))</f>
        <v/>
      </c>
      <c r="AG15" s="64" t="n">
        <f aca="false">IF($D15&lt;&gt;"Live","",IFERROR(HLOOKUP($E15,'SLA Tiers'!$C$4:$E$14,11,FALSE()),""))</f>
        <v>4</v>
      </c>
      <c r="AH15" s="65"/>
      <c r="AI15" s="59" t="str">
        <f aca="false">IF(OR(AH15="",AG15=""),"",IF(AH15&gt;=AG15,"Green",IF(AH15&gt;=AG15*0.9,"Amber","Red")))</f>
        <v/>
      </c>
    </row>
    <row r="16" customFormat="false" ht="19.5" hidden="false" customHeight="true" outlineLevel="0" collapsed="false">
      <c r="B16" s="35" t="n">
        <f aca="false">IF('Dashboard Portfolio'!B15="","",'Dashboard Portfolio'!B15)</f>
        <v>10</v>
      </c>
      <c r="C16" s="37" t="str">
        <f aca="false">IF('Dashboard Portfolio'!C15="","",'Dashboard Portfolio'!C15)</f>
        <v>HCM — Headcount &amp; Org</v>
      </c>
      <c r="D16" s="35" t="str">
        <f aca="false">IF('Dashboard Portfolio'!E15="","",'Dashboard Portfolio'!E15)</f>
        <v>Live</v>
      </c>
      <c r="E16" s="59" t="str">
        <f aca="false">IF('Dashboard Portfolio'!F15="","",'Dashboard Portfolio'!F15)</f>
        <v>P2</v>
      </c>
      <c r="F16" s="60" t="n">
        <f aca="false">IF($D16&lt;&gt;"Live","",IFERROR(HLOOKUP($E16,'SLA Tiers'!$C$4:$E$14,2,FALSE()),""))</f>
        <v>0.995</v>
      </c>
      <c r="G16" s="61"/>
      <c r="H16" s="59" t="str">
        <f aca="false">IF(OR(G16="",F16=""),"",IF(G16&gt;=F16,"Green",IF(G16&gt;=F16*0.9,"Amber","Red")))</f>
        <v/>
      </c>
      <c r="I16" s="60" t="n">
        <f aca="false">IF($D16&lt;&gt;"Live","",IFERROR(HLOOKUP($E16,'SLA Tiers'!$C$4:$E$14,3,FALSE()),""))</f>
        <v>0.95</v>
      </c>
      <c r="J16" s="61"/>
      <c r="K16" s="59" t="str">
        <f aca="false">IF(OR(J16="",I16=""),"",IF(J16&gt;=I16,"Green",IF(J16&gt;=I16*0.9,"Amber","Red")))</f>
        <v/>
      </c>
      <c r="L16" s="62" t="n">
        <f aca="false">IF($D16&lt;&gt;"Live","",IFERROR(HLOOKUP($E16,'SLA Tiers'!$C$4:$E$14,4,FALSE()),""))</f>
        <v>2</v>
      </c>
      <c r="M16" s="63"/>
      <c r="N16" s="59" t="str">
        <f aca="false">IF(OR(M16="",L16=""),"",IF(M16&lt;=L16,"Green",IF(M16&lt;=L16*1.1,"Amber","Red")))</f>
        <v/>
      </c>
      <c r="O16" s="64" t="n">
        <f aca="false">IF($D16&lt;&gt;"Live","",IFERROR(HLOOKUP($E16,'SLA Tiers'!$C$4:$E$14,5,FALSE()),""))</f>
        <v>4</v>
      </c>
      <c r="P16" s="65"/>
      <c r="Q16" s="59" t="str">
        <f aca="false">IF(OR(P16="",O16=""),"",IF(P16&lt;=O16,"Green",IF(P16&lt;=O16*1.1,"Amber","Red")))</f>
        <v/>
      </c>
      <c r="R16" s="60" t="n">
        <f aca="false">IF($D16&lt;&gt;"Live","",IFERROR(HLOOKUP($E16,'SLA Tiers'!$C$4:$E$14,6,FALSE()),""))</f>
        <v>0.98</v>
      </c>
      <c r="S16" s="61"/>
      <c r="T16" s="59" t="str">
        <f aca="false">IF(OR(S16="",R16=""),"",IF(S16&gt;=R16,"Green",IF(S16&gt;=R16*0.9,"Amber","Red")))</f>
        <v/>
      </c>
      <c r="U16" s="60" t="n">
        <f aca="false">IF($D16&lt;&gt;"Live","",IFERROR(HLOOKUP($E16,'SLA Tiers'!$C$4:$E$14,7,FALSE()),""))</f>
        <v>0.995</v>
      </c>
      <c r="V16" s="61"/>
      <c r="W16" s="59" t="str">
        <f aca="false">IF(OR(V16="",U16=""),"",IF(V16&gt;=U16,"Green",IF(V16&gt;=U16*0.9,"Amber","Red")))</f>
        <v/>
      </c>
      <c r="X16" s="64" t="n">
        <f aca="false">IF($D16&lt;&gt;"Live","",IFERROR(HLOOKUP($E16,'SLA Tiers'!$C$4:$E$14,8,FALSE()),""))</f>
        <v>5</v>
      </c>
      <c r="Y16" s="65"/>
      <c r="Z16" s="59" t="str">
        <f aca="false">IF(OR(Y16="",X16=""),"",IF(Y16&lt;=X16,"Green",IF(Y16&lt;=X16*1.1,"Amber","Red")))</f>
        <v/>
      </c>
      <c r="AA16" s="64" t="n">
        <f aca="false">IF($D16&lt;&gt;"Live","",IFERROR(HLOOKUP($E16,'SLA Tiers'!$C$4:$E$14,9,FALSE()),""))</f>
        <v>8</v>
      </c>
      <c r="AB16" s="65"/>
      <c r="AC16" s="59" t="str">
        <f aca="false">IF(OR(AB16="",AA16=""),"",IF(AB16&lt;=AA16,"Green",IF(AB16&lt;=AA16*1.1,"Amber","Red")))</f>
        <v/>
      </c>
      <c r="AD16" s="60" t="n">
        <f aca="false">IF($D16&lt;&gt;"Live","",IFERROR(HLOOKUP($E16,'SLA Tiers'!$C$4:$E$14,10,FALSE()),""))</f>
        <v>0.7</v>
      </c>
      <c r="AE16" s="61"/>
      <c r="AF16" s="59" t="str">
        <f aca="false">IF(OR(AE16="",AD16=""),"",IF(AE16&gt;=AD16,"Green",IF(AE16&gt;=AD16*0.9,"Amber","Red")))</f>
        <v/>
      </c>
      <c r="AG16" s="64" t="n">
        <f aca="false">IF($D16&lt;&gt;"Live","",IFERROR(HLOOKUP($E16,'SLA Tiers'!$C$4:$E$14,11,FALSE()),""))</f>
        <v>4</v>
      </c>
      <c r="AH16" s="65"/>
      <c r="AI16" s="59" t="str">
        <f aca="false">IF(OR(AH16="",AG16=""),"",IF(AH16&gt;=AG16,"Green",IF(AH16&gt;=AG16*0.9,"Amber","Red")))</f>
        <v/>
      </c>
    </row>
    <row r="17" customFormat="false" ht="19.5" hidden="false" customHeight="true" outlineLevel="0" collapsed="false">
      <c r="B17" s="35" t="n">
        <f aca="false">IF('Dashboard Portfolio'!B16="","",'Dashboard Portfolio'!B16)</f>
        <v>11</v>
      </c>
      <c r="C17" s="37" t="str">
        <f aca="false">IF('Dashboard Portfolio'!C16="","",'Dashboard Portfolio'!C16)</f>
        <v>HCM — Attendance &amp; Leave</v>
      </c>
      <c r="D17" s="35" t="str">
        <f aca="false">IF('Dashboard Portfolio'!E16="","",'Dashboard Portfolio'!E16)</f>
        <v>Live</v>
      </c>
      <c r="E17" s="59" t="str">
        <f aca="false">IF('Dashboard Portfolio'!F16="","",'Dashboard Portfolio'!F16)</f>
        <v>P3</v>
      </c>
      <c r="F17" s="60" t="n">
        <f aca="false">IF($D17&lt;&gt;"Live","",IFERROR(HLOOKUP($E17,'SLA Tiers'!$C$4:$E$14,2,FALSE()),""))</f>
        <v>0.99</v>
      </c>
      <c r="G17" s="61"/>
      <c r="H17" s="59" t="str">
        <f aca="false">IF(OR(G17="",F17=""),"",IF(G17&gt;=F17,"Green",IF(G17&gt;=F17*0.9,"Amber","Red")))</f>
        <v/>
      </c>
      <c r="I17" s="60" t="n">
        <f aca="false">IF($D17&lt;&gt;"Live","",IFERROR(HLOOKUP($E17,'SLA Tiers'!$C$4:$E$14,3,FALSE()),""))</f>
        <v>0.9</v>
      </c>
      <c r="J17" s="61"/>
      <c r="K17" s="59" t="str">
        <f aca="false">IF(OR(J17="",I17=""),"",IF(J17&gt;=I17,"Green",IF(J17&gt;=I17*0.9,"Amber","Red")))</f>
        <v/>
      </c>
      <c r="L17" s="62" t="n">
        <f aca="false">IF($D17&lt;&gt;"Live","",IFERROR(HLOOKUP($E17,'SLA Tiers'!$C$4:$E$14,4,FALSE()),""))</f>
        <v>5</v>
      </c>
      <c r="M17" s="63"/>
      <c r="N17" s="59" t="str">
        <f aca="false">IF(OR(M17="",L17=""),"",IF(M17&lt;=L17,"Green",IF(M17&lt;=L17*1.1,"Amber","Red")))</f>
        <v/>
      </c>
      <c r="O17" s="64" t="n">
        <f aca="false">IF($D17&lt;&gt;"Live","",IFERROR(HLOOKUP($E17,'SLA Tiers'!$C$4:$E$14,5,FALSE()),""))</f>
        <v>8</v>
      </c>
      <c r="P17" s="65"/>
      <c r="Q17" s="59" t="str">
        <f aca="false">IF(OR(P17="",O17=""),"",IF(P17&lt;=O17,"Green",IF(P17&lt;=O17*1.1,"Amber","Red")))</f>
        <v/>
      </c>
      <c r="R17" s="60" t="n">
        <f aca="false">IF($D17&lt;&gt;"Live","",IFERROR(HLOOKUP($E17,'SLA Tiers'!$C$4:$E$14,6,FALSE()),""))</f>
        <v>0.95</v>
      </c>
      <c r="S17" s="61"/>
      <c r="T17" s="59" t="str">
        <f aca="false">IF(OR(S17="",R17=""),"",IF(S17&gt;=R17,"Green",IF(S17&gt;=R17*0.9,"Amber","Red")))</f>
        <v/>
      </c>
      <c r="U17" s="60" t="n">
        <f aca="false">IF($D17&lt;&gt;"Live","",IFERROR(HLOOKUP($E17,'SLA Tiers'!$C$4:$E$14,7,FALSE()),""))</f>
        <v>0.99</v>
      </c>
      <c r="V17" s="61"/>
      <c r="W17" s="59" t="str">
        <f aca="false">IF(OR(V17="",U17=""),"",IF(V17&gt;=U17,"Green",IF(V17&gt;=U17*0.9,"Amber","Red")))</f>
        <v/>
      </c>
      <c r="X17" s="64" t="n">
        <f aca="false">IF($D17&lt;&gt;"Live","",IFERROR(HLOOKUP($E17,'SLA Tiers'!$C$4:$E$14,8,FALSE()),""))</f>
        <v>8</v>
      </c>
      <c r="Y17" s="65"/>
      <c r="Z17" s="59" t="str">
        <f aca="false">IF(OR(Y17="",X17=""),"",IF(Y17&lt;=X17,"Green",IF(Y17&lt;=X17*1.1,"Amber","Red")))</f>
        <v/>
      </c>
      <c r="AA17" s="64" t="n">
        <f aca="false">IF($D17&lt;&gt;"Live","",IFERROR(HLOOKUP($E17,'SLA Tiers'!$C$4:$E$14,9,FALSE()),""))</f>
        <v>24</v>
      </c>
      <c r="AB17" s="65"/>
      <c r="AC17" s="59" t="str">
        <f aca="false">IF(OR(AB17="",AA17=""),"",IF(AB17&lt;=AA17,"Green",IF(AB17&lt;=AA17*1.1,"Amber","Red")))</f>
        <v/>
      </c>
      <c r="AD17" s="60" t="n">
        <f aca="false">IF($D17&lt;&gt;"Live","",IFERROR(HLOOKUP($E17,'SLA Tiers'!$C$4:$E$14,10,FALSE()),""))</f>
        <v>0.5</v>
      </c>
      <c r="AE17" s="61"/>
      <c r="AF17" s="59" t="str">
        <f aca="false">IF(OR(AE17="",AD17=""),"",IF(AE17&gt;=AD17,"Green",IF(AE17&gt;=AD17*0.9,"Amber","Red")))</f>
        <v/>
      </c>
      <c r="AG17" s="64" t="n">
        <f aca="false">IF($D17&lt;&gt;"Live","",IFERROR(HLOOKUP($E17,'SLA Tiers'!$C$4:$E$14,11,FALSE()),""))</f>
        <v>3.8</v>
      </c>
      <c r="AH17" s="65"/>
      <c r="AI17" s="59" t="str">
        <f aca="false">IF(OR(AH17="",AG17=""),"",IF(AH17&gt;=AG17,"Green",IF(AH17&gt;=AG17*0.9,"Amber","Red")))</f>
        <v/>
      </c>
    </row>
    <row r="18" customFormat="false" ht="19.5" hidden="false" customHeight="true" outlineLevel="0" collapsed="false">
      <c r="B18" s="35" t="n">
        <f aca="false">IF('Dashboard Portfolio'!B17="","",'Dashboard Portfolio'!B17)</f>
        <v>12</v>
      </c>
      <c r="C18" s="37" t="str">
        <f aca="false">IF('Dashboard Portfolio'!C17="","",'Dashboard Portfolio'!C17)</f>
        <v>HCM — Payroll Summary</v>
      </c>
      <c r="D18" s="35" t="str">
        <f aca="false">IF('Dashboard Portfolio'!E17="","",'Dashboard Portfolio'!E17)</f>
        <v>Live</v>
      </c>
      <c r="E18" s="59" t="str">
        <f aca="false">IF('Dashboard Portfolio'!F17="","",'Dashboard Portfolio'!F17)</f>
        <v>P1</v>
      </c>
      <c r="F18" s="60" t="n">
        <f aca="false">IF($D18&lt;&gt;"Live","",IFERROR(HLOOKUP($E18,'SLA Tiers'!$C$4:$E$14,2,FALSE()),""))</f>
        <v>0.999</v>
      </c>
      <c r="G18" s="61"/>
      <c r="H18" s="59" t="str">
        <f aca="false">IF(OR(G18="",F18=""),"",IF(G18&gt;=F18,"Green",IF(G18&gt;=F18*0.9,"Amber","Red")))</f>
        <v/>
      </c>
      <c r="I18" s="60" t="n">
        <f aca="false">IF($D18&lt;&gt;"Live","",IFERROR(HLOOKUP($E18,'SLA Tiers'!$C$4:$E$14,3,FALSE()),""))</f>
        <v>0.99</v>
      </c>
      <c r="J18" s="61"/>
      <c r="K18" s="59" t="str">
        <f aca="false">IF(OR(J18="",I18=""),"",IF(J18&gt;=I18,"Green",IF(J18&gt;=I18*0.9,"Amber","Red")))</f>
        <v/>
      </c>
      <c r="L18" s="62" t="n">
        <f aca="false">IF($D18&lt;&gt;"Live","",IFERROR(HLOOKUP($E18,'SLA Tiers'!$C$4:$E$14,4,FALSE()),""))</f>
        <v>0</v>
      </c>
      <c r="M18" s="63"/>
      <c r="N18" s="59" t="str">
        <f aca="false">IF(OR(M18="",L18=""),"",IF(M18&lt;=L18,"Green",IF(M18&lt;=L18*1.1,"Amber","Red")))</f>
        <v/>
      </c>
      <c r="O18" s="64" t="n">
        <f aca="false">IF($D18&lt;&gt;"Live","",IFERROR(HLOOKUP($E18,'SLA Tiers'!$C$4:$E$14,5,FALSE()),""))</f>
        <v>2</v>
      </c>
      <c r="P18" s="65"/>
      <c r="Q18" s="59" t="str">
        <f aca="false">IF(OR(P18="",O18=""),"",IF(P18&lt;=O18,"Green",IF(P18&lt;=O18*1.1,"Amber","Red")))</f>
        <v/>
      </c>
      <c r="R18" s="60" t="n">
        <f aca="false">IF($D18&lt;&gt;"Live","",IFERROR(HLOOKUP($E18,'SLA Tiers'!$C$4:$E$14,6,FALSE()),""))</f>
        <v>0.99</v>
      </c>
      <c r="S18" s="61"/>
      <c r="T18" s="59" t="str">
        <f aca="false">IF(OR(S18="",R18=""),"",IF(S18&gt;=R18,"Green",IF(S18&gt;=R18*0.9,"Amber","Red")))</f>
        <v/>
      </c>
      <c r="U18" s="60" t="n">
        <f aca="false">IF($D18&lt;&gt;"Live","",IFERROR(HLOOKUP($E18,'SLA Tiers'!$C$4:$E$14,7,FALSE()),""))</f>
        <v>0.999</v>
      </c>
      <c r="V18" s="61"/>
      <c r="W18" s="59" t="str">
        <f aca="false">IF(OR(V18="",U18=""),"",IF(V18&gt;=U18,"Green",IF(V18&gt;=U18*0.9,"Amber","Red")))</f>
        <v/>
      </c>
      <c r="X18" s="64" t="n">
        <f aca="false">IF($D18&lt;&gt;"Live","",IFERROR(HLOOKUP($E18,'SLA Tiers'!$C$4:$E$14,8,FALSE()),""))</f>
        <v>3</v>
      </c>
      <c r="Y18" s="65"/>
      <c r="Z18" s="59" t="str">
        <f aca="false">IF(OR(Y18="",X18=""),"",IF(Y18&lt;=X18,"Green",IF(Y18&lt;=X18*1.1,"Amber","Red")))</f>
        <v/>
      </c>
      <c r="AA18" s="64" t="n">
        <f aca="false">IF($D18&lt;&gt;"Live","",IFERROR(HLOOKUP($E18,'SLA Tiers'!$C$4:$E$14,9,FALSE()),""))</f>
        <v>4</v>
      </c>
      <c r="AB18" s="65"/>
      <c r="AC18" s="59" t="str">
        <f aca="false">IF(OR(AB18="",AA18=""),"",IF(AB18&lt;=AA18,"Green",IF(AB18&lt;=AA18*1.1,"Amber","Red")))</f>
        <v/>
      </c>
      <c r="AD18" s="60" t="n">
        <f aca="false">IF($D18&lt;&gt;"Live","",IFERROR(HLOOKUP($E18,'SLA Tiers'!$C$4:$E$14,10,FALSE()),""))</f>
        <v>0.8</v>
      </c>
      <c r="AE18" s="61"/>
      <c r="AF18" s="59" t="str">
        <f aca="false">IF(OR(AE18="",AD18=""),"",IF(AE18&gt;=AD18,"Green",IF(AE18&gt;=AD18*0.9,"Amber","Red")))</f>
        <v/>
      </c>
      <c r="AG18" s="64" t="n">
        <f aca="false">IF($D18&lt;&gt;"Live","",IFERROR(HLOOKUP($E18,'SLA Tiers'!$C$4:$E$14,11,FALSE()),""))</f>
        <v>4.3</v>
      </c>
      <c r="AH18" s="65"/>
      <c r="AI18" s="59" t="str">
        <f aca="false">IF(OR(AH18="",AG18=""),"",IF(AH18&gt;=AG18,"Green",IF(AH18&gt;=AG18*0.9,"Amber","Red")))</f>
        <v/>
      </c>
    </row>
    <row r="19" customFormat="false" ht="19.5" hidden="false" customHeight="true" outlineLevel="0" collapsed="false">
      <c r="B19" s="35" t="n">
        <f aca="false">IF('Dashboard Portfolio'!B18="","",'Dashboard Portfolio'!B18)</f>
        <v>13</v>
      </c>
      <c r="C19" s="37" t="str">
        <f aca="false">IF('Dashboard Portfolio'!C18="","",'Dashboard Portfolio'!C18)</f>
        <v>Procurement — PO Status &amp; Spend</v>
      </c>
      <c r="D19" s="35" t="str">
        <f aca="false">IF('Dashboard Portfolio'!E18="","",'Dashboard Portfolio'!E18)</f>
        <v>Live</v>
      </c>
      <c r="E19" s="59" t="str">
        <f aca="false">IF('Dashboard Portfolio'!F18="","",'Dashboard Portfolio'!F18)</f>
        <v>P2</v>
      </c>
      <c r="F19" s="60" t="n">
        <f aca="false">IF($D19&lt;&gt;"Live","",IFERROR(HLOOKUP($E19,'SLA Tiers'!$C$4:$E$14,2,FALSE()),""))</f>
        <v>0.995</v>
      </c>
      <c r="G19" s="61"/>
      <c r="H19" s="59" t="str">
        <f aca="false">IF(OR(G19="",F19=""),"",IF(G19&gt;=F19,"Green",IF(G19&gt;=F19*0.9,"Amber","Red")))</f>
        <v/>
      </c>
      <c r="I19" s="60" t="n">
        <f aca="false">IF($D19&lt;&gt;"Live","",IFERROR(HLOOKUP($E19,'SLA Tiers'!$C$4:$E$14,3,FALSE()),""))</f>
        <v>0.95</v>
      </c>
      <c r="J19" s="61"/>
      <c r="K19" s="59" t="str">
        <f aca="false">IF(OR(J19="",I19=""),"",IF(J19&gt;=I19,"Green",IF(J19&gt;=I19*0.9,"Amber","Red")))</f>
        <v/>
      </c>
      <c r="L19" s="62" t="n">
        <f aca="false">IF($D19&lt;&gt;"Live","",IFERROR(HLOOKUP($E19,'SLA Tiers'!$C$4:$E$14,4,FALSE()),""))</f>
        <v>2</v>
      </c>
      <c r="M19" s="63"/>
      <c r="N19" s="59" t="str">
        <f aca="false">IF(OR(M19="",L19=""),"",IF(M19&lt;=L19,"Green",IF(M19&lt;=L19*1.1,"Amber","Red")))</f>
        <v/>
      </c>
      <c r="O19" s="64" t="n">
        <f aca="false">IF($D19&lt;&gt;"Live","",IFERROR(HLOOKUP($E19,'SLA Tiers'!$C$4:$E$14,5,FALSE()),""))</f>
        <v>4</v>
      </c>
      <c r="P19" s="65"/>
      <c r="Q19" s="59" t="str">
        <f aca="false">IF(OR(P19="",O19=""),"",IF(P19&lt;=O19,"Green",IF(P19&lt;=O19*1.1,"Amber","Red")))</f>
        <v/>
      </c>
      <c r="R19" s="60" t="n">
        <f aca="false">IF($D19&lt;&gt;"Live","",IFERROR(HLOOKUP($E19,'SLA Tiers'!$C$4:$E$14,6,FALSE()),""))</f>
        <v>0.98</v>
      </c>
      <c r="S19" s="61"/>
      <c r="T19" s="59" t="str">
        <f aca="false">IF(OR(S19="",R19=""),"",IF(S19&gt;=R19,"Green",IF(S19&gt;=R19*0.9,"Amber","Red")))</f>
        <v/>
      </c>
      <c r="U19" s="60" t="n">
        <f aca="false">IF($D19&lt;&gt;"Live","",IFERROR(HLOOKUP($E19,'SLA Tiers'!$C$4:$E$14,7,FALSE()),""))</f>
        <v>0.995</v>
      </c>
      <c r="V19" s="61"/>
      <c r="W19" s="59" t="str">
        <f aca="false">IF(OR(V19="",U19=""),"",IF(V19&gt;=U19,"Green",IF(V19&gt;=U19*0.9,"Amber","Red")))</f>
        <v/>
      </c>
      <c r="X19" s="64" t="n">
        <f aca="false">IF($D19&lt;&gt;"Live","",IFERROR(HLOOKUP($E19,'SLA Tiers'!$C$4:$E$14,8,FALSE()),""))</f>
        <v>5</v>
      </c>
      <c r="Y19" s="65"/>
      <c r="Z19" s="59" t="str">
        <f aca="false">IF(OR(Y19="",X19=""),"",IF(Y19&lt;=X19,"Green",IF(Y19&lt;=X19*1.1,"Amber","Red")))</f>
        <v/>
      </c>
      <c r="AA19" s="64" t="n">
        <f aca="false">IF($D19&lt;&gt;"Live","",IFERROR(HLOOKUP($E19,'SLA Tiers'!$C$4:$E$14,9,FALSE()),""))</f>
        <v>8</v>
      </c>
      <c r="AB19" s="65"/>
      <c r="AC19" s="59" t="str">
        <f aca="false">IF(OR(AB19="",AA19=""),"",IF(AB19&lt;=AA19,"Green",IF(AB19&lt;=AA19*1.1,"Amber","Red")))</f>
        <v/>
      </c>
      <c r="AD19" s="60" t="n">
        <f aca="false">IF($D19&lt;&gt;"Live","",IFERROR(HLOOKUP($E19,'SLA Tiers'!$C$4:$E$14,10,FALSE()),""))</f>
        <v>0.7</v>
      </c>
      <c r="AE19" s="61"/>
      <c r="AF19" s="59" t="str">
        <f aca="false">IF(OR(AE19="",AD19=""),"",IF(AE19&gt;=AD19,"Green",IF(AE19&gt;=AD19*0.9,"Amber","Red")))</f>
        <v/>
      </c>
      <c r="AG19" s="64" t="n">
        <f aca="false">IF($D19&lt;&gt;"Live","",IFERROR(HLOOKUP($E19,'SLA Tiers'!$C$4:$E$14,11,FALSE()),""))</f>
        <v>4</v>
      </c>
      <c r="AH19" s="65"/>
      <c r="AI19" s="59" t="str">
        <f aca="false">IF(OR(AH19="",AG19=""),"",IF(AH19&gt;=AG19,"Green",IF(AH19&gt;=AG19*0.9,"Amber","Red")))</f>
        <v/>
      </c>
    </row>
    <row r="20" customFormat="false" ht="19.5" hidden="false" customHeight="true" outlineLevel="0" collapsed="false">
      <c r="B20" s="35" t="n">
        <f aca="false">IF('Dashboard Portfolio'!B19="","",'Dashboard Portfolio'!B19)</f>
        <v>14</v>
      </c>
      <c r="C20" s="37" t="str">
        <f aca="false">IF('Dashboard Portfolio'!C19="","",'Dashboard Portfolio'!C19)</f>
        <v>IT — System Availability</v>
      </c>
      <c r="D20" s="35" t="str">
        <f aca="false">IF('Dashboard Portfolio'!E19="","",'Dashboard Portfolio'!E19)</f>
        <v>Live</v>
      </c>
      <c r="E20" s="59" t="str">
        <f aca="false">IF('Dashboard Portfolio'!F19="","",'Dashboard Portfolio'!F19)</f>
        <v>P2</v>
      </c>
      <c r="F20" s="60" t="n">
        <f aca="false">IF($D20&lt;&gt;"Live","",IFERROR(HLOOKUP($E20,'SLA Tiers'!$C$4:$E$14,2,FALSE()),""))</f>
        <v>0.995</v>
      </c>
      <c r="G20" s="61"/>
      <c r="H20" s="59" t="str">
        <f aca="false">IF(OR(G20="",F20=""),"",IF(G20&gt;=F20,"Green",IF(G20&gt;=F20*0.9,"Amber","Red")))</f>
        <v/>
      </c>
      <c r="I20" s="60" t="n">
        <f aca="false">IF($D20&lt;&gt;"Live","",IFERROR(HLOOKUP($E20,'SLA Tiers'!$C$4:$E$14,3,FALSE()),""))</f>
        <v>0.95</v>
      </c>
      <c r="J20" s="61"/>
      <c r="K20" s="59" t="str">
        <f aca="false">IF(OR(J20="",I20=""),"",IF(J20&gt;=I20,"Green",IF(J20&gt;=I20*0.9,"Amber","Red")))</f>
        <v/>
      </c>
      <c r="L20" s="62" t="n">
        <f aca="false">IF($D20&lt;&gt;"Live","",IFERROR(HLOOKUP($E20,'SLA Tiers'!$C$4:$E$14,4,FALSE()),""))</f>
        <v>2</v>
      </c>
      <c r="M20" s="63"/>
      <c r="N20" s="59" t="str">
        <f aca="false">IF(OR(M20="",L20=""),"",IF(M20&lt;=L20,"Green",IF(M20&lt;=L20*1.1,"Amber","Red")))</f>
        <v/>
      </c>
      <c r="O20" s="64" t="n">
        <f aca="false">IF($D20&lt;&gt;"Live","",IFERROR(HLOOKUP($E20,'SLA Tiers'!$C$4:$E$14,5,FALSE()),""))</f>
        <v>4</v>
      </c>
      <c r="P20" s="65"/>
      <c r="Q20" s="59" t="str">
        <f aca="false">IF(OR(P20="",O20=""),"",IF(P20&lt;=O20,"Green",IF(P20&lt;=O20*1.1,"Amber","Red")))</f>
        <v/>
      </c>
      <c r="R20" s="60" t="n">
        <f aca="false">IF($D20&lt;&gt;"Live","",IFERROR(HLOOKUP($E20,'SLA Tiers'!$C$4:$E$14,6,FALSE()),""))</f>
        <v>0.98</v>
      </c>
      <c r="S20" s="61"/>
      <c r="T20" s="59" t="str">
        <f aca="false">IF(OR(S20="",R20=""),"",IF(S20&gt;=R20,"Green",IF(S20&gt;=R20*0.9,"Amber","Red")))</f>
        <v/>
      </c>
      <c r="U20" s="60" t="n">
        <f aca="false">IF($D20&lt;&gt;"Live","",IFERROR(HLOOKUP($E20,'SLA Tiers'!$C$4:$E$14,7,FALSE()),""))</f>
        <v>0.995</v>
      </c>
      <c r="V20" s="61"/>
      <c r="W20" s="59" t="str">
        <f aca="false">IF(OR(V20="",U20=""),"",IF(V20&gt;=U20,"Green",IF(V20&gt;=U20*0.9,"Amber","Red")))</f>
        <v/>
      </c>
      <c r="X20" s="64" t="n">
        <f aca="false">IF($D20&lt;&gt;"Live","",IFERROR(HLOOKUP($E20,'SLA Tiers'!$C$4:$E$14,8,FALSE()),""))</f>
        <v>5</v>
      </c>
      <c r="Y20" s="65"/>
      <c r="Z20" s="59" t="str">
        <f aca="false">IF(OR(Y20="",X20=""),"",IF(Y20&lt;=X20,"Green",IF(Y20&lt;=X20*1.1,"Amber","Red")))</f>
        <v/>
      </c>
      <c r="AA20" s="64" t="n">
        <f aca="false">IF($D20&lt;&gt;"Live","",IFERROR(HLOOKUP($E20,'SLA Tiers'!$C$4:$E$14,9,FALSE()),""))</f>
        <v>8</v>
      </c>
      <c r="AB20" s="65"/>
      <c r="AC20" s="59" t="str">
        <f aca="false">IF(OR(AB20="",AA20=""),"",IF(AB20&lt;=AA20,"Green",IF(AB20&lt;=AA20*1.1,"Amber","Red")))</f>
        <v/>
      </c>
      <c r="AD20" s="60" t="n">
        <f aca="false">IF($D20&lt;&gt;"Live","",IFERROR(HLOOKUP($E20,'SLA Tiers'!$C$4:$E$14,10,FALSE()),""))</f>
        <v>0.7</v>
      </c>
      <c r="AE20" s="61"/>
      <c r="AF20" s="59" t="str">
        <f aca="false">IF(OR(AE20="",AD20=""),"",IF(AE20&gt;=AD20,"Green",IF(AE20&gt;=AD20*0.9,"Amber","Red")))</f>
        <v/>
      </c>
      <c r="AG20" s="64" t="n">
        <f aca="false">IF($D20&lt;&gt;"Live","",IFERROR(HLOOKUP($E20,'SLA Tiers'!$C$4:$E$14,11,FALSE()),""))</f>
        <v>4</v>
      </c>
      <c r="AH20" s="65"/>
      <c r="AI20" s="59" t="str">
        <f aca="false">IF(OR(AH20="",AG20=""),"",IF(AH20&gt;=AG20,"Green",IF(AH20&gt;=AG20*0.9,"Amber","Red")))</f>
        <v/>
      </c>
    </row>
    <row r="21" customFormat="false" ht="19.5" hidden="false" customHeight="true" outlineLevel="0" collapsed="false">
      <c r="B21" s="35" t="n">
        <f aca="false">IF('Dashboard Portfolio'!B20="","",'Dashboard Portfolio'!B20)</f>
        <v>15</v>
      </c>
      <c r="C21" s="37" t="str">
        <f aca="false">IF('Dashboard Portfolio'!C20="","",'Dashboard Portfolio'!C20)</f>
        <v>Compliance — Regulatory Reporting</v>
      </c>
      <c r="D21" s="35" t="str">
        <f aca="false">IF('Dashboard Portfolio'!E20="","",'Dashboard Portfolio'!E20)</f>
        <v>Live</v>
      </c>
      <c r="E21" s="59" t="str">
        <f aca="false">IF('Dashboard Portfolio'!F20="","",'Dashboard Portfolio'!F20)</f>
        <v>P1</v>
      </c>
      <c r="F21" s="60" t="n">
        <f aca="false">IF($D21&lt;&gt;"Live","",IFERROR(HLOOKUP($E21,'SLA Tiers'!$C$4:$E$14,2,FALSE()),""))</f>
        <v>0.999</v>
      </c>
      <c r="G21" s="61"/>
      <c r="H21" s="59" t="str">
        <f aca="false">IF(OR(G21="",F21=""),"",IF(G21&gt;=F21,"Green",IF(G21&gt;=F21*0.9,"Amber","Red")))</f>
        <v/>
      </c>
      <c r="I21" s="60" t="n">
        <f aca="false">IF($D21&lt;&gt;"Live","",IFERROR(HLOOKUP($E21,'SLA Tiers'!$C$4:$E$14,3,FALSE()),""))</f>
        <v>0.99</v>
      </c>
      <c r="J21" s="61"/>
      <c r="K21" s="59" t="str">
        <f aca="false">IF(OR(J21="",I21=""),"",IF(J21&gt;=I21,"Green",IF(J21&gt;=I21*0.9,"Amber","Red")))</f>
        <v/>
      </c>
      <c r="L21" s="62" t="n">
        <f aca="false">IF($D21&lt;&gt;"Live","",IFERROR(HLOOKUP($E21,'SLA Tiers'!$C$4:$E$14,4,FALSE()),""))</f>
        <v>0</v>
      </c>
      <c r="M21" s="63"/>
      <c r="N21" s="59" t="str">
        <f aca="false">IF(OR(M21="",L21=""),"",IF(M21&lt;=L21,"Green",IF(M21&lt;=L21*1.1,"Amber","Red")))</f>
        <v/>
      </c>
      <c r="O21" s="64" t="n">
        <f aca="false">IF($D21&lt;&gt;"Live","",IFERROR(HLOOKUP($E21,'SLA Tiers'!$C$4:$E$14,5,FALSE()),""))</f>
        <v>2</v>
      </c>
      <c r="P21" s="65"/>
      <c r="Q21" s="59" t="str">
        <f aca="false">IF(OR(P21="",O21=""),"",IF(P21&lt;=O21,"Green",IF(P21&lt;=O21*1.1,"Amber","Red")))</f>
        <v/>
      </c>
      <c r="R21" s="60" t="n">
        <f aca="false">IF($D21&lt;&gt;"Live","",IFERROR(HLOOKUP($E21,'SLA Tiers'!$C$4:$E$14,6,FALSE()),""))</f>
        <v>0.99</v>
      </c>
      <c r="S21" s="61"/>
      <c r="T21" s="59" t="str">
        <f aca="false">IF(OR(S21="",R21=""),"",IF(S21&gt;=R21,"Green",IF(S21&gt;=R21*0.9,"Amber","Red")))</f>
        <v/>
      </c>
      <c r="U21" s="60" t="n">
        <f aca="false">IF($D21&lt;&gt;"Live","",IFERROR(HLOOKUP($E21,'SLA Tiers'!$C$4:$E$14,7,FALSE()),""))</f>
        <v>0.999</v>
      </c>
      <c r="V21" s="61"/>
      <c r="W21" s="59" t="str">
        <f aca="false">IF(OR(V21="",U21=""),"",IF(V21&gt;=U21,"Green",IF(V21&gt;=U21*0.9,"Amber","Red")))</f>
        <v/>
      </c>
      <c r="X21" s="64" t="n">
        <f aca="false">IF($D21&lt;&gt;"Live","",IFERROR(HLOOKUP($E21,'SLA Tiers'!$C$4:$E$14,8,FALSE()),""))</f>
        <v>3</v>
      </c>
      <c r="Y21" s="65"/>
      <c r="Z21" s="59" t="str">
        <f aca="false">IF(OR(Y21="",X21=""),"",IF(Y21&lt;=X21,"Green",IF(Y21&lt;=X21*1.1,"Amber","Red")))</f>
        <v/>
      </c>
      <c r="AA21" s="64" t="n">
        <f aca="false">IF($D21&lt;&gt;"Live","",IFERROR(HLOOKUP($E21,'SLA Tiers'!$C$4:$E$14,9,FALSE()),""))</f>
        <v>4</v>
      </c>
      <c r="AB21" s="65"/>
      <c r="AC21" s="59" t="str">
        <f aca="false">IF(OR(AB21="",AA21=""),"",IF(AB21&lt;=AA21,"Green",IF(AB21&lt;=AA21*1.1,"Amber","Red")))</f>
        <v/>
      </c>
      <c r="AD21" s="60" t="n">
        <f aca="false">IF($D21&lt;&gt;"Live","",IFERROR(HLOOKUP($E21,'SLA Tiers'!$C$4:$E$14,10,FALSE()),""))</f>
        <v>0.8</v>
      </c>
      <c r="AE21" s="61"/>
      <c r="AF21" s="59" t="str">
        <f aca="false">IF(OR(AE21="",AD21=""),"",IF(AE21&gt;=AD21,"Green",IF(AE21&gt;=AD21*0.9,"Amber","Red")))</f>
        <v/>
      </c>
      <c r="AG21" s="64" t="n">
        <f aca="false">IF($D21&lt;&gt;"Live","",IFERROR(HLOOKUP($E21,'SLA Tiers'!$C$4:$E$14,11,FALSE()),""))</f>
        <v>4.3</v>
      </c>
      <c r="AH21" s="65"/>
      <c r="AI21" s="59" t="str">
        <f aca="false">IF(OR(AH21="",AG21=""),"",IF(AH21&gt;=AG21,"Green",IF(AH21&gt;=AG21*0.9,"Amber","Red")))</f>
        <v/>
      </c>
    </row>
    <row r="22" customFormat="false" ht="19.5" hidden="false" customHeight="true" outlineLevel="0" collapsed="false">
      <c r="B22" s="35" t="n">
        <f aca="false">IF('Dashboard Portfolio'!B21="","",'Dashboard Portfolio'!B21)</f>
        <v>16</v>
      </c>
      <c r="C22" s="37" t="str">
        <f aca="false">IF('Dashboard Portfolio'!C21="","",'Dashboard Portfolio'!C21)</f>
        <v>Executive — KPI Scorecard</v>
      </c>
      <c r="D22" s="35" t="str">
        <f aca="false">IF('Dashboard Portfolio'!E21="","",'Dashboard Portfolio'!E21)</f>
        <v>Live</v>
      </c>
      <c r="E22" s="59" t="str">
        <f aca="false">IF('Dashboard Portfolio'!F21="","",'Dashboard Portfolio'!F21)</f>
        <v>P1</v>
      </c>
      <c r="F22" s="60" t="n">
        <f aca="false">IF($D22&lt;&gt;"Live","",IFERROR(HLOOKUP($E22,'SLA Tiers'!$C$4:$E$14,2,FALSE()),""))</f>
        <v>0.999</v>
      </c>
      <c r="G22" s="61"/>
      <c r="H22" s="59" t="str">
        <f aca="false">IF(OR(G22="",F22=""),"",IF(G22&gt;=F22,"Green",IF(G22&gt;=F22*0.9,"Amber","Red")))</f>
        <v/>
      </c>
      <c r="I22" s="60" t="n">
        <f aca="false">IF($D22&lt;&gt;"Live","",IFERROR(HLOOKUP($E22,'SLA Tiers'!$C$4:$E$14,3,FALSE()),""))</f>
        <v>0.99</v>
      </c>
      <c r="J22" s="61"/>
      <c r="K22" s="59" t="str">
        <f aca="false">IF(OR(J22="",I22=""),"",IF(J22&gt;=I22,"Green",IF(J22&gt;=I22*0.9,"Amber","Red")))</f>
        <v/>
      </c>
      <c r="L22" s="62" t="n">
        <f aca="false">IF($D22&lt;&gt;"Live","",IFERROR(HLOOKUP($E22,'SLA Tiers'!$C$4:$E$14,4,FALSE()),""))</f>
        <v>0</v>
      </c>
      <c r="M22" s="63"/>
      <c r="N22" s="59" t="str">
        <f aca="false">IF(OR(M22="",L22=""),"",IF(M22&lt;=L22,"Green",IF(M22&lt;=L22*1.1,"Amber","Red")))</f>
        <v/>
      </c>
      <c r="O22" s="64" t="n">
        <f aca="false">IF($D22&lt;&gt;"Live","",IFERROR(HLOOKUP($E22,'SLA Tiers'!$C$4:$E$14,5,FALSE()),""))</f>
        <v>2</v>
      </c>
      <c r="P22" s="65"/>
      <c r="Q22" s="59" t="str">
        <f aca="false">IF(OR(P22="",O22=""),"",IF(P22&lt;=O22,"Green",IF(P22&lt;=O22*1.1,"Amber","Red")))</f>
        <v/>
      </c>
      <c r="R22" s="60" t="n">
        <f aca="false">IF($D22&lt;&gt;"Live","",IFERROR(HLOOKUP($E22,'SLA Tiers'!$C$4:$E$14,6,FALSE()),""))</f>
        <v>0.99</v>
      </c>
      <c r="S22" s="61"/>
      <c r="T22" s="59" t="str">
        <f aca="false">IF(OR(S22="",R22=""),"",IF(S22&gt;=R22,"Green",IF(S22&gt;=R22*0.9,"Amber","Red")))</f>
        <v/>
      </c>
      <c r="U22" s="60" t="n">
        <f aca="false">IF($D22&lt;&gt;"Live","",IFERROR(HLOOKUP($E22,'SLA Tiers'!$C$4:$E$14,7,FALSE()),""))</f>
        <v>0.999</v>
      </c>
      <c r="V22" s="61"/>
      <c r="W22" s="59" t="str">
        <f aca="false">IF(OR(V22="",U22=""),"",IF(V22&gt;=U22,"Green",IF(V22&gt;=U22*0.9,"Amber","Red")))</f>
        <v/>
      </c>
      <c r="X22" s="64" t="n">
        <f aca="false">IF($D22&lt;&gt;"Live","",IFERROR(HLOOKUP($E22,'SLA Tiers'!$C$4:$E$14,8,FALSE()),""))</f>
        <v>3</v>
      </c>
      <c r="Y22" s="65"/>
      <c r="Z22" s="59" t="str">
        <f aca="false">IF(OR(Y22="",X22=""),"",IF(Y22&lt;=X22,"Green",IF(Y22&lt;=X22*1.1,"Amber","Red")))</f>
        <v/>
      </c>
      <c r="AA22" s="64" t="n">
        <f aca="false">IF($D22&lt;&gt;"Live","",IFERROR(HLOOKUP($E22,'SLA Tiers'!$C$4:$E$14,9,FALSE()),""))</f>
        <v>4</v>
      </c>
      <c r="AB22" s="65"/>
      <c r="AC22" s="59" t="str">
        <f aca="false">IF(OR(AB22="",AA22=""),"",IF(AB22&lt;=AA22,"Green",IF(AB22&lt;=AA22*1.1,"Amber","Red")))</f>
        <v/>
      </c>
      <c r="AD22" s="60" t="n">
        <f aca="false">IF($D22&lt;&gt;"Live","",IFERROR(HLOOKUP($E22,'SLA Tiers'!$C$4:$E$14,10,FALSE()),""))</f>
        <v>0.8</v>
      </c>
      <c r="AE22" s="61"/>
      <c r="AF22" s="59" t="str">
        <f aca="false">IF(OR(AE22="",AD22=""),"",IF(AE22&gt;=AD22,"Green",IF(AE22&gt;=AD22*0.9,"Amber","Red")))</f>
        <v/>
      </c>
      <c r="AG22" s="64" t="n">
        <f aca="false">IF($D22&lt;&gt;"Live","",IFERROR(HLOOKUP($E22,'SLA Tiers'!$C$4:$E$14,11,FALSE()),""))</f>
        <v>4.3</v>
      </c>
      <c r="AH22" s="65"/>
      <c r="AI22" s="59" t="str">
        <f aca="false">IF(OR(AH22="",AG22=""),"",IF(AH22&gt;=AG22,"Green",IF(AH22&gt;=AG22*0.9,"Amber","Red")))</f>
        <v/>
      </c>
    </row>
    <row r="23" customFormat="false" ht="19.5" hidden="false" customHeight="true" outlineLevel="0" collapsed="false">
      <c r="B23" s="35" t="n">
        <f aca="false">IF('Dashboard Portfolio'!B22="","",'Dashboard Portfolio'!B22)</f>
        <v>17</v>
      </c>
      <c r="C23" s="37" t="str">
        <f aca="false">IF('Dashboard Portfolio'!C22="","",'Dashboard Portfolio'!C22)</f>
        <v>Procurement — Spend Analytics</v>
      </c>
      <c r="D23" s="35" t="str">
        <f aca="false">IF('Dashboard Portfolio'!E22="","",'Dashboard Portfolio'!E22)</f>
        <v>In Build</v>
      </c>
      <c r="E23" s="59" t="str">
        <f aca="false">IF('Dashboard Portfolio'!F22="","",'Dashboard Portfolio'!F22)</f>
        <v>P1</v>
      </c>
      <c r="F23" s="60" t="str">
        <f aca="false">IF($D23&lt;&gt;"Live","",IFERROR(HLOOKUP($E23,'SLA Tiers'!$C$4:$E$14,2,FALSE()),""))</f>
        <v/>
      </c>
      <c r="G23" s="61"/>
      <c r="H23" s="59" t="str">
        <f aca="false">IF(OR(G23="",F23=""),"",IF(G23&gt;=F23,"Green",IF(G23&gt;=F23*0.9,"Amber","Red")))</f>
        <v/>
      </c>
      <c r="I23" s="60" t="str">
        <f aca="false">IF($D23&lt;&gt;"Live","",IFERROR(HLOOKUP($E23,'SLA Tiers'!$C$4:$E$14,3,FALSE()),""))</f>
        <v/>
      </c>
      <c r="J23" s="61"/>
      <c r="K23" s="59" t="str">
        <f aca="false">IF(OR(J23="",I23=""),"",IF(J23&gt;=I23,"Green",IF(J23&gt;=I23*0.9,"Amber","Red")))</f>
        <v/>
      </c>
      <c r="L23" s="62" t="str">
        <f aca="false">IF($D23&lt;&gt;"Live","",IFERROR(HLOOKUP($E23,'SLA Tiers'!$C$4:$E$14,4,FALSE()),""))</f>
        <v/>
      </c>
      <c r="M23" s="63"/>
      <c r="N23" s="59" t="str">
        <f aca="false">IF(OR(M23="",L23=""),"",IF(M23&lt;=L23,"Green",IF(M23&lt;=L23*1.1,"Amber","Red")))</f>
        <v/>
      </c>
      <c r="O23" s="64" t="str">
        <f aca="false">IF($D23&lt;&gt;"Live","",IFERROR(HLOOKUP($E23,'SLA Tiers'!$C$4:$E$14,5,FALSE()),""))</f>
        <v/>
      </c>
      <c r="P23" s="65"/>
      <c r="Q23" s="59" t="str">
        <f aca="false">IF(OR(P23="",O23=""),"",IF(P23&lt;=O23,"Green",IF(P23&lt;=O23*1.1,"Amber","Red")))</f>
        <v/>
      </c>
      <c r="R23" s="60" t="str">
        <f aca="false">IF($D23&lt;&gt;"Live","",IFERROR(HLOOKUP($E23,'SLA Tiers'!$C$4:$E$14,6,FALSE()),""))</f>
        <v/>
      </c>
      <c r="S23" s="61"/>
      <c r="T23" s="59" t="str">
        <f aca="false">IF(OR(S23="",R23=""),"",IF(S23&gt;=R23,"Green",IF(S23&gt;=R23*0.9,"Amber","Red")))</f>
        <v/>
      </c>
      <c r="U23" s="60" t="str">
        <f aca="false">IF($D23&lt;&gt;"Live","",IFERROR(HLOOKUP($E23,'SLA Tiers'!$C$4:$E$14,7,FALSE()),""))</f>
        <v/>
      </c>
      <c r="V23" s="61"/>
      <c r="W23" s="59" t="str">
        <f aca="false">IF(OR(V23="",U23=""),"",IF(V23&gt;=U23,"Green",IF(V23&gt;=U23*0.9,"Amber","Red")))</f>
        <v/>
      </c>
      <c r="X23" s="64" t="str">
        <f aca="false">IF($D23&lt;&gt;"Live","",IFERROR(HLOOKUP($E23,'SLA Tiers'!$C$4:$E$14,8,FALSE()),""))</f>
        <v/>
      </c>
      <c r="Y23" s="65"/>
      <c r="Z23" s="59" t="str">
        <f aca="false">IF(OR(Y23="",X23=""),"",IF(Y23&lt;=X23,"Green",IF(Y23&lt;=X23*1.1,"Amber","Red")))</f>
        <v/>
      </c>
      <c r="AA23" s="64" t="str">
        <f aca="false">IF($D23&lt;&gt;"Live","",IFERROR(HLOOKUP($E23,'SLA Tiers'!$C$4:$E$14,9,FALSE()),""))</f>
        <v/>
      </c>
      <c r="AB23" s="65"/>
      <c r="AC23" s="59" t="str">
        <f aca="false">IF(OR(AB23="",AA23=""),"",IF(AB23&lt;=AA23,"Green",IF(AB23&lt;=AA23*1.1,"Amber","Red")))</f>
        <v/>
      </c>
      <c r="AD23" s="60" t="str">
        <f aca="false">IF($D23&lt;&gt;"Live","",IFERROR(HLOOKUP($E23,'SLA Tiers'!$C$4:$E$14,10,FALSE()),""))</f>
        <v/>
      </c>
      <c r="AE23" s="61"/>
      <c r="AF23" s="59" t="str">
        <f aca="false">IF(OR(AE23="",AD23=""),"",IF(AE23&gt;=AD23,"Green",IF(AE23&gt;=AD23*0.9,"Amber","Red")))</f>
        <v/>
      </c>
      <c r="AG23" s="64" t="str">
        <f aca="false">IF($D23&lt;&gt;"Live","",IFERROR(HLOOKUP($E23,'SLA Tiers'!$C$4:$E$14,11,FALSE()),""))</f>
        <v/>
      </c>
      <c r="AH23" s="65"/>
      <c r="AI23" s="59" t="str">
        <f aca="false">IF(OR(AH23="",AG23=""),"",IF(AH23&gt;=AG23,"Green",IF(AH23&gt;=AG23*0.9,"Amber","Red")))</f>
        <v/>
      </c>
    </row>
    <row r="24" customFormat="false" ht="19.5" hidden="false" customHeight="true" outlineLevel="0" collapsed="false">
      <c r="B24" s="35" t="n">
        <f aca="false">IF('Dashboard Portfolio'!B23="","",'Dashboard Portfolio'!B23)</f>
        <v>18</v>
      </c>
      <c r="C24" s="37" t="str">
        <f aca="false">IF('Dashboard Portfolio'!C23="","",'Dashboard Portfolio'!C23)</f>
        <v>Procurement — Supplier Performance</v>
      </c>
      <c r="D24" s="35" t="str">
        <f aca="false">IF('Dashboard Portfolio'!E23="","",'Dashboard Portfolio'!E23)</f>
        <v>In Build</v>
      </c>
      <c r="E24" s="59" t="str">
        <f aca="false">IF('Dashboard Portfolio'!F23="","",'Dashboard Portfolio'!F23)</f>
        <v>P2</v>
      </c>
      <c r="F24" s="60" t="str">
        <f aca="false">IF($D24&lt;&gt;"Live","",IFERROR(HLOOKUP($E24,'SLA Tiers'!$C$4:$E$14,2,FALSE()),""))</f>
        <v/>
      </c>
      <c r="G24" s="61"/>
      <c r="H24" s="59" t="str">
        <f aca="false">IF(OR(G24="",F24=""),"",IF(G24&gt;=F24,"Green",IF(G24&gt;=F24*0.9,"Amber","Red")))</f>
        <v/>
      </c>
      <c r="I24" s="60" t="str">
        <f aca="false">IF($D24&lt;&gt;"Live","",IFERROR(HLOOKUP($E24,'SLA Tiers'!$C$4:$E$14,3,FALSE()),""))</f>
        <v/>
      </c>
      <c r="J24" s="61"/>
      <c r="K24" s="59" t="str">
        <f aca="false">IF(OR(J24="",I24=""),"",IF(J24&gt;=I24,"Green",IF(J24&gt;=I24*0.9,"Amber","Red")))</f>
        <v/>
      </c>
      <c r="L24" s="62" t="str">
        <f aca="false">IF($D24&lt;&gt;"Live","",IFERROR(HLOOKUP($E24,'SLA Tiers'!$C$4:$E$14,4,FALSE()),""))</f>
        <v/>
      </c>
      <c r="M24" s="63"/>
      <c r="N24" s="59" t="str">
        <f aca="false">IF(OR(M24="",L24=""),"",IF(M24&lt;=L24,"Green",IF(M24&lt;=L24*1.1,"Amber","Red")))</f>
        <v/>
      </c>
      <c r="O24" s="64" t="str">
        <f aca="false">IF($D24&lt;&gt;"Live","",IFERROR(HLOOKUP($E24,'SLA Tiers'!$C$4:$E$14,5,FALSE()),""))</f>
        <v/>
      </c>
      <c r="P24" s="65"/>
      <c r="Q24" s="59" t="str">
        <f aca="false">IF(OR(P24="",O24=""),"",IF(P24&lt;=O24,"Green",IF(P24&lt;=O24*1.1,"Amber","Red")))</f>
        <v/>
      </c>
      <c r="R24" s="60" t="str">
        <f aca="false">IF($D24&lt;&gt;"Live","",IFERROR(HLOOKUP($E24,'SLA Tiers'!$C$4:$E$14,6,FALSE()),""))</f>
        <v/>
      </c>
      <c r="S24" s="61"/>
      <c r="T24" s="59" t="str">
        <f aca="false">IF(OR(S24="",R24=""),"",IF(S24&gt;=R24,"Green",IF(S24&gt;=R24*0.9,"Amber","Red")))</f>
        <v/>
      </c>
      <c r="U24" s="60" t="str">
        <f aca="false">IF($D24&lt;&gt;"Live","",IFERROR(HLOOKUP($E24,'SLA Tiers'!$C$4:$E$14,7,FALSE()),""))</f>
        <v/>
      </c>
      <c r="V24" s="61"/>
      <c r="W24" s="59" t="str">
        <f aca="false">IF(OR(V24="",U24=""),"",IF(V24&gt;=U24,"Green",IF(V24&gt;=U24*0.9,"Amber","Red")))</f>
        <v/>
      </c>
      <c r="X24" s="64" t="str">
        <f aca="false">IF($D24&lt;&gt;"Live","",IFERROR(HLOOKUP($E24,'SLA Tiers'!$C$4:$E$14,8,FALSE()),""))</f>
        <v/>
      </c>
      <c r="Y24" s="65"/>
      <c r="Z24" s="59" t="str">
        <f aca="false">IF(OR(Y24="",X24=""),"",IF(Y24&lt;=X24,"Green",IF(Y24&lt;=X24*1.1,"Amber","Red")))</f>
        <v/>
      </c>
      <c r="AA24" s="64" t="str">
        <f aca="false">IF($D24&lt;&gt;"Live","",IFERROR(HLOOKUP($E24,'SLA Tiers'!$C$4:$E$14,9,FALSE()),""))</f>
        <v/>
      </c>
      <c r="AB24" s="65"/>
      <c r="AC24" s="59" t="str">
        <f aca="false">IF(OR(AB24="",AA24=""),"",IF(AB24&lt;=AA24,"Green",IF(AB24&lt;=AA24*1.1,"Amber","Red")))</f>
        <v/>
      </c>
      <c r="AD24" s="60" t="str">
        <f aca="false">IF($D24&lt;&gt;"Live","",IFERROR(HLOOKUP($E24,'SLA Tiers'!$C$4:$E$14,10,FALSE()),""))</f>
        <v/>
      </c>
      <c r="AE24" s="61"/>
      <c r="AF24" s="59" t="str">
        <f aca="false">IF(OR(AE24="",AD24=""),"",IF(AE24&gt;=AD24,"Green",IF(AE24&gt;=AD24*0.9,"Amber","Red")))</f>
        <v/>
      </c>
      <c r="AG24" s="64" t="str">
        <f aca="false">IF($D24&lt;&gt;"Live","",IFERROR(HLOOKUP($E24,'SLA Tiers'!$C$4:$E$14,11,FALSE()),""))</f>
        <v/>
      </c>
      <c r="AH24" s="65"/>
      <c r="AI24" s="59" t="str">
        <f aca="false">IF(OR(AH24="",AG24=""),"",IF(AH24&gt;=AG24,"Green",IF(AH24&gt;=AG24*0.9,"Amber","Red")))</f>
        <v/>
      </c>
    </row>
    <row r="25" customFormat="false" ht="19.5" hidden="false" customHeight="true" outlineLevel="0" collapsed="false">
      <c r="B25" s="35" t="n">
        <f aca="false">IF('Dashboard Portfolio'!B24="","",'Dashboard Portfolio'!B24)</f>
        <v>19</v>
      </c>
      <c r="C25" s="37" t="str">
        <f aca="false">IF('Dashboard Portfolio'!C24="","",'Dashboard Portfolio'!C24)</f>
        <v>Procurement — PR/PO Cycle Time</v>
      </c>
      <c r="D25" s="35" t="str">
        <f aca="false">IF('Dashboard Portfolio'!E24="","",'Dashboard Portfolio'!E24)</f>
        <v>In Build</v>
      </c>
      <c r="E25" s="59" t="str">
        <f aca="false">IF('Dashboard Portfolio'!F24="","",'Dashboard Portfolio'!F24)</f>
        <v>P2</v>
      </c>
      <c r="F25" s="60" t="str">
        <f aca="false">IF($D25&lt;&gt;"Live","",IFERROR(HLOOKUP($E25,'SLA Tiers'!$C$4:$E$14,2,FALSE()),""))</f>
        <v/>
      </c>
      <c r="G25" s="61"/>
      <c r="H25" s="59" t="str">
        <f aca="false">IF(OR(G25="",F25=""),"",IF(G25&gt;=F25,"Green",IF(G25&gt;=F25*0.9,"Amber","Red")))</f>
        <v/>
      </c>
      <c r="I25" s="60" t="str">
        <f aca="false">IF($D25&lt;&gt;"Live","",IFERROR(HLOOKUP($E25,'SLA Tiers'!$C$4:$E$14,3,FALSE()),""))</f>
        <v/>
      </c>
      <c r="J25" s="61"/>
      <c r="K25" s="59" t="str">
        <f aca="false">IF(OR(J25="",I25=""),"",IF(J25&gt;=I25,"Green",IF(J25&gt;=I25*0.9,"Amber","Red")))</f>
        <v/>
      </c>
      <c r="L25" s="62" t="str">
        <f aca="false">IF($D25&lt;&gt;"Live","",IFERROR(HLOOKUP($E25,'SLA Tiers'!$C$4:$E$14,4,FALSE()),""))</f>
        <v/>
      </c>
      <c r="M25" s="63"/>
      <c r="N25" s="59" t="str">
        <f aca="false">IF(OR(M25="",L25=""),"",IF(M25&lt;=L25,"Green",IF(M25&lt;=L25*1.1,"Amber","Red")))</f>
        <v/>
      </c>
      <c r="O25" s="64" t="str">
        <f aca="false">IF($D25&lt;&gt;"Live","",IFERROR(HLOOKUP($E25,'SLA Tiers'!$C$4:$E$14,5,FALSE()),""))</f>
        <v/>
      </c>
      <c r="P25" s="65"/>
      <c r="Q25" s="59" t="str">
        <f aca="false">IF(OR(P25="",O25=""),"",IF(P25&lt;=O25,"Green",IF(P25&lt;=O25*1.1,"Amber","Red")))</f>
        <v/>
      </c>
      <c r="R25" s="60" t="str">
        <f aca="false">IF($D25&lt;&gt;"Live","",IFERROR(HLOOKUP($E25,'SLA Tiers'!$C$4:$E$14,6,FALSE()),""))</f>
        <v/>
      </c>
      <c r="S25" s="61"/>
      <c r="T25" s="59" t="str">
        <f aca="false">IF(OR(S25="",R25=""),"",IF(S25&gt;=R25,"Green",IF(S25&gt;=R25*0.9,"Amber","Red")))</f>
        <v/>
      </c>
      <c r="U25" s="60" t="str">
        <f aca="false">IF($D25&lt;&gt;"Live","",IFERROR(HLOOKUP($E25,'SLA Tiers'!$C$4:$E$14,7,FALSE()),""))</f>
        <v/>
      </c>
      <c r="V25" s="61"/>
      <c r="W25" s="59" t="str">
        <f aca="false">IF(OR(V25="",U25=""),"",IF(V25&gt;=U25,"Green",IF(V25&gt;=U25*0.9,"Amber","Red")))</f>
        <v/>
      </c>
      <c r="X25" s="64" t="str">
        <f aca="false">IF($D25&lt;&gt;"Live","",IFERROR(HLOOKUP($E25,'SLA Tiers'!$C$4:$E$14,8,FALSE()),""))</f>
        <v/>
      </c>
      <c r="Y25" s="65"/>
      <c r="Z25" s="59" t="str">
        <f aca="false">IF(OR(Y25="",X25=""),"",IF(Y25&lt;=X25,"Green",IF(Y25&lt;=X25*1.1,"Amber","Red")))</f>
        <v/>
      </c>
      <c r="AA25" s="64" t="str">
        <f aca="false">IF($D25&lt;&gt;"Live","",IFERROR(HLOOKUP($E25,'SLA Tiers'!$C$4:$E$14,9,FALSE()),""))</f>
        <v/>
      </c>
      <c r="AB25" s="65"/>
      <c r="AC25" s="59" t="str">
        <f aca="false">IF(OR(AB25="",AA25=""),"",IF(AB25&lt;=AA25,"Green",IF(AB25&lt;=AA25*1.1,"Amber","Red")))</f>
        <v/>
      </c>
      <c r="AD25" s="60" t="str">
        <f aca="false">IF($D25&lt;&gt;"Live","",IFERROR(HLOOKUP($E25,'SLA Tiers'!$C$4:$E$14,10,FALSE()),""))</f>
        <v/>
      </c>
      <c r="AE25" s="61"/>
      <c r="AF25" s="59" t="str">
        <f aca="false">IF(OR(AE25="",AD25=""),"",IF(AE25&gt;=AD25,"Green",IF(AE25&gt;=AD25*0.9,"Amber","Red")))</f>
        <v/>
      </c>
      <c r="AG25" s="64" t="str">
        <f aca="false">IF($D25&lt;&gt;"Live","",IFERROR(HLOOKUP($E25,'SLA Tiers'!$C$4:$E$14,11,FALSE()),""))</f>
        <v/>
      </c>
      <c r="AH25" s="65"/>
      <c r="AI25" s="59" t="str">
        <f aca="false">IF(OR(AH25="",AG25=""),"",IF(AH25&gt;=AG25,"Green",IF(AH25&gt;=AG25*0.9,"Amber","Red")))</f>
        <v/>
      </c>
    </row>
    <row r="26" customFormat="false" ht="19.5" hidden="false" customHeight="true" outlineLevel="0" collapsed="false">
      <c r="B26" s="35" t="n">
        <f aca="false">IF('Dashboard Portfolio'!B25="","",'Dashboard Portfolio'!B25)</f>
        <v>20</v>
      </c>
      <c r="C26" s="37" t="str">
        <f aca="false">IF('Dashboard Portfolio'!C25="","",'Dashboard Portfolio'!C25)</f>
        <v>Procurement — Contract Compliance</v>
      </c>
      <c r="D26" s="35" t="str">
        <f aca="false">IF('Dashboard Portfolio'!E25="","",'Dashboard Portfolio'!E25)</f>
        <v>In Build</v>
      </c>
      <c r="E26" s="59" t="str">
        <f aca="false">IF('Dashboard Portfolio'!F25="","",'Dashboard Portfolio'!F25)</f>
        <v>P2</v>
      </c>
      <c r="F26" s="60" t="str">
        <f aca="false">IF($D26&lt;&gt;"Live","",IFERROR(HLOOKUP($E26,'SLA Tiers'!$C$4:$E$14,2,FALSE()),""))</f>
        <v/>
      </c>
      <c r="G26" s="61"/>
      <c r="H26" s="59" t="str">
        <f aca="false">IF(OR(G26="",F26=""),"",IF(G26&gt;=F26,"Green",IF(G26&gt;=F26*0.9,"Amber","Red")))</f>
        <v/>
      </c>
      <c r="I26" s="60" t="str">
        <f aca="false">IF($D26&lt;&gt;"Live","",IFERROR(HLOOKUP($E26,'SLA Tiers'!$C$4:$E$14,3,FALSE()),""))</f>
        <v/>
      </c>
      <c r="J26" s="61"/>
      <c r="K26" s="59" t="str">
        <f aca="false">IF(OR(J26="",I26=""),"",IF(J26&gt;=I26,"Green",IF(J26&gt;=I26*0.9,"Amber","Red")))</f>
        <v/>
      </c>
      <c r="L26" s="62" t="str">
        <f aca="false">IF($D26&lt;&gt;"Live","",IFERROR(HLOOKUP($E26,'SLA Tiers'!$C$4:$E$14,4,FALSE()),""))</f>
        <v/>
      </c>
      <c r="M26" s="63"/>
      <c r="N26" s="59" t="str">
        <f aca="false">IF(OR(M26="",L26=""),"",IF(M26&lt;=L26,"Green",IF(M26&lt;=L26*1.1,"Amber","Red")))</f>
        <v/>
      </c>
      <c r="O26" s="64" t="str">
        <f aca="false">IF($D26&lt;&gt;"Live","",IFERROR(HLOOKUP($E26,'SLA Tiers'!$C$4:$E$14,5,FALSE()),""))</f>
        <v/>
      </c>
      <c r="P26" s="65"/>
      <c r="Q26" s="59" t="str">
        <f aca="false">IF(OR(P26="",O26=""),"",IF(P26&lt;=O26,"Green",IF(P26&lt;=O26*1.1,"Amber","Red")))</f>
        <v/>
      </c>
      <c r="R26" s="60" t="str">
        <f aca="false">IF($D26&lt;&gt;"Live","",IFERROR(HLOOKUP($E26,'SLA Tiers'!$C$4:$E$14,6,FALSE()),""))</f>
        <v/>
      </c>
      <c r="S26" s="61"/>
      <c r="T26" s="59" t="str">
        <f aca="false">IF(OR(S26="",R26=""),"",IF(S26&gt;=R26,"Green",IF(S26&gt;=R26*0.9,"Amber","Red")))</f>
        <v/>
      </c>
      <c r="U26" s="60" t="str">
        <f aca="false">IF($D26&lt;&gt;"Live","",IFERROR(HLOOKUP($E26,'SLA Tiers'!$C$4:$E$14,7,FALSE()),""))</f>
        <v/>
      </c>
      <c r="V26" s="61"/>
      <c r="W26" s="59" t="str">
        <f aca="false">IF(OR(V26="",U26=""),"",IF(V26&gt;=U26,"Green",IF(V26&gt;=U26*0.9,"Amber","Red")))</f>
        <v/>
      </c>
      <c r="X26" s="64" t="str">
        <f aca="false">IF($D26&lt;&gt;"Live","",IFERROR(HLOOKUP($E26,'SLA Tiers'!$C$4:$E$14,8,FALSE()),""))</f>
        <v/>
      </c>
      <c r="Y26" s="65"/>
      <c r="Z26" s="59" t="str">
        <f aca="false">IF(OR(Y26="",X26=""),"",IF(Y26&lt;=X26,"Green",IF(Y26&lt;=X26*1.1,"Amber","Red")))</f>
        <v/>
      </c>
      <c r="AA26" s="64" t="str">
        <f aca="false">IF($D26&lt;&gt;"Live","",IFERROR(HLOOKUP($E26,'SLA Tiers'!$C$4:$E$14,9,FALSE()),""))</f>
        <v/>
      </c>
      <c r="AB26" s="65"/>
      <c r="AC26" s="59" t="str">
        <f aca="false">IF(OR(AB26="",AA26=""),"",IF(AB26&lt;=AA26,"Green",IF(AB26&lt;=AA26*1.1,"Amber","Red")))</f>
        <v/>
      </c>
      <c r="AD26" s="60" t="str">
        <f aca="false">IF($D26&lt;&gt;"Live","",IFERROR(HLOOKUP($E26,'SLA Tiers'!$C$4:$E$14,10,FALSE()),""))</f>
        <v/>
      </c>
      <c r="AE26" s="61"/>
      <c r="AF26" s="59" t="str">
        <f aca="false">IF(OR(AE26="",AD26=""),"",IF(AE26&gt;=AD26,"Green",IF(AE26&gt;=AD26*0.9,"Amber","Red")))</f>
        <v/>
      </c>
      <c r="AG26" s="64" t="str">
        <f aca="false">IF($D26&lt;&gt;"Live","",IFERROR(HLOOKUP($E26,'SLA Tiers'!$C$4:$E$14,11,FALSE()),""))</f>
        <v/>
      </c>
      <c r="AH26" s="65"/>
      <c r="AI26" s="59" t="str">
        <f aca="false">IF(OR(AH26="",AG26=""),"",IF(AH26&gt;=AG26,"Green",IF(AH26&gt;=AG26*0.9,"Amber","Red")))</f>
        <v/>
      </c>
    </row>
    <row r="27" customFormat="false" ht="19.5" hidden="false" customHeight="true" outlineLevel="0" collapsed="false">
      <c r="B27" s="35" t="n">
        <f aca="false">IF('Dashboard Portfolio'!B26="","",'Dashboard Portfolio'!B26)</f>
        <v>21</v>
      </c>
      <c r="C27" s="37" t="str">
        <f aca="false">IF('Dashboard Portfolio'!C26="","",'Dashboard Portfolio'!C26)</f>
        <v>Strategy — KPI Scorecard</v>
      </c>
      <c r="D27" s="35" t="str">
        <f aca="false">IF('Dashboard Portfolio'!E26="","",'Dashboard Portfolio'!E26)</f>
        <v>In Scoping</v>
      </c>
      <c r="E27" s="59" t="str">
        <f aca="false">IF('Dashboard Portfolio'!F26="","",'Dashboard Portfolio'!F26)</f>
        <v>P1</v>
      </c>
      <c r="F27" s="60" t="str">
        <f aca="false">IF($D27&lt;&gt;"Live","",IFERROR(HLOOKUP($E27,'SLA Tiers'!$C$4:$E$14,2,FALSE()),""))</f>
        <v/>
      </c>
      <c r="G27" s="61"/>
      <c r="H27" s="59" t="str">
        <f aca="false">IF(OR(G27="",F27=""),"",IF(G27&gt;=F27,"Green",IF(G27&gt;=F27*0.9,"Amber","Red")))</f>
        <v/>
      </c>
      <c r="I27" s="60" t="str">
        <f aca="false">IF($D27&lt;&gt;"Live","",IFERROR(HLOOKUP($E27,'SLA Tiers'!$C$4:$E$14,3,FALSE()),""))</f>
        <v/>
      </c>
      <c r="J27" s="61"/>
      <c r="K27" s="59" t="str">
        <f aca="false">IF(OR(J27="",I27=""),"",IF(J27&gt;=I27,"Green",IF(J27&gt;=I27*0.9,"Amber","Red")))</f>
        <v/>
      </c>
      <c r="L27" s="62" t="str">
        <f aca="false">IF($D27&lt;&gt;"Live","",IFERROR(HLOOKUP($E27,'SLA Tiers'!$C$4:$E$14,4,FALSE()),""))</f>
        <v/>
      </c>
      <c r="M27" s="63"/>
      <c r="N27" s="59" t="str">
        <f aca="false">IF(OR(M27="",L27=""),"",IF(M27&lt;=L27,"Green",IF(M27&lt;=L27*1.1,"Amber","Red")))</f>
        <v/>
      </c>
      <c r="O27" s="64" t="str">
        <f aca="false">IF($D27&lt;&gt;"Live","",IFERROR(HLOOKUP($E27,'SLA Tiers'!$C$4:$E$14,5,FALSE()),""))</f>
        <v/>
      </c>
      <c r="P27" s="65"/>
      <c r="Q27" s="59" t="str">
        <f aca="false">IF(OR(P27="",O27=""),"",IF(P27&lt;=O27,"Green",IF(P27&lt;=O27*1.1,"Amber","Red")))</f>
        <v/>
      </c>
      <c r="R27" s="60" t="str">
        <f aca="false">IF($D27&lt;&gt;"Live","",IFERROR(HLOOKUP($E27,'SLA Tiers'!$C$4:$E$14,6,FALSE()),""))</f>
        <v/>
      </c>
      <c r="S27" s="61"/>
      <c r="T27" s="59" t="str">
        <f aca="false">IF(OR(S27="",R27=""),"",IF(S27&gt;=R27,"Green",IF(S27&gt;=R27*0.9,"Amber","Red")))</f>
        <v/>
      </c>
      <c r="U27" s="60" t="str">
        <f aca="false">IF($D27&lt;&gt;"Live","",IFERROR(HLOOKUP($E27,'SLA Tiers'!$C$4:$E$14,7,FALSE()),""))</f>
        <v/>
      </c>
      <c r="V27" s="61"/>
      <c r="W27" s="59" t="str">
        <f aca="false">IF(OR(V27="",U27=""),"",IF(V27&gt;=U27,"Green",IF(V27&gt;=U27*0.9,"Amber","Red")))</f>
        <v/>
      </c>
      <c r="X27" s="64" t="str">
        <f aca="false">IF($D27&lt;&gt;"Live","",IFERROR(HLOOKUP($E27,'SLA Tiers'!$C$4:$E$14,8,FALSE()),""))</f>
        <v/>
      </c>
      <c r="Y27" s="65"/>
      <c r="Z27" s="59" t="str">
        <f aca="false">IF(OR(Y27="",X27=""),"",IF(Y27&lt;=X27,"Green",IF(Y27&lt;=X27*1.1,"Amber","Red")))</f>
        <v/>
      </c>
      <c r="AA27" s="64" t="str">
        <f aca="false">IF($D27&lt;&gt;"Live","",IFERROR(HLOOKUP($E27,'SLA Tiers'!$C$4:$E$14,9,FALSE()),""))</f>
        <v/>
      </c>
      <c r="AB27" s="65"/>
      <c r="AC27" s="59" t="str">
        <f aca="false">IF(OR(AB27="",AA27=""),"",IF(AB27&lt;=AA27,"Green",IF(AB27&lt;=AA27*1.1,"Amber","Red")))</f>
        <v/>
      </c>
      <c r="AD27" s="60" t="str">
        <f aca="false">IF($D27&lt;&gt;"Live","",IFERROR(HLOOKUP($E27,'SLA Tiers'!$C$4:$E$14,10,FALSE()),""))</f>
        <v/>
      </c>
      <c r="AE27" s="61"/>
      <c r="AF27" s="59" t="str">
        <f aca="false">IF(OR(AE27="",AD27=""),"",IF(AE27&gt;=AD27,"Green",IF(AE27&gt;=AD27*0.9,"Amber","Red")))</f>
        <v/>
      </c>
      <c r="AG27" s="64" t="str">
        <f aca="false">IF($D27&lt;&gt;"Live","",IFERROR(HLOOKUP($E27,'SLA Tiers'!$C$4:$E$14,11,FALSE()),""))</f>
        <v/>
      </c>
      <c r="AH27" s="65"/>
      <c r="AI27" s="59" t="str">
        <f aca="false">IF(OR(AH27="",AG27=""),"",IF(AH27&gt;=AG27,"Green",IF(AH27&gt;=AG27*0.9,"Amber","Red")))</f>
        <v/>
      </c>
    </row>
    <row r="28" customFormat="false" ht="19.5" hidden="false" customHeight="true" outlineLevel="0" collapsed="false">
      <c r="B28" s="35" t="n">
        <f aca="false">IF('Dashboard Portfolio'!B27="","",'Dashboard Portfolio'!B27)</f>
        <v>22</v>
      </c>
      <c r="C28" s="37" t="str">
        <f aca="false">IF('Dashboard Portfolio'!C27="","",'Dashboard Portfolio'!C27)</f>
        <v>Strategy — Initiatives Tracker</v>
      </c>
      <c r="D28" s="35" t="str">
        <f aca="false">IF('Dashboard Portfolio'!E27="","",'Dashboard Portfolio'!E27)</f>
        <v>In Scoping</v>
      </c>
      <c r="E28" s="59" t="str">
        <f aca="false">IF('Dashboard Portfolio'!F27="","",'Dashboard Portfolio'!F27)</f>
        <v>P2</v>
      </c>
      <c r="F28" s="60" t="str">
        <f aca="false">IF($D28&lt;&gt;"Live","",IFERROR(HLOOKUP($E28,'SLA Tiers'!$C$4:$E$14,2,FALSE()),""))</f>
        <v/>
      </c>
      <c r="G28" s="61"/>
      <c r="H28" s="59" t="str">
        <f aca="false">IF(OR(G28="",F28=""),"",IF(G28&gt;=F28,"Green",IF(G28&gt;=F28*0.9,"Amber","Red")))</f>
        <v/>
      </c>
      <c r="I28" s="60" t="str">
        <f aca="false">IF($D28&lt;&gt;"Live","",IFERROR(HLOOKUP($E28,'SLA Tiers'!$C$4:$E$14,3,FALSE()),""))</f>
        <v/>
      </c>
      <c r="J28" s="61"/>
      <c r="K28" s="59" t="str">
        <f aca="false">IF(OR(J28="",I28=""),"",IF(J28&gt;=I28,"Green",IF(J28&gt;=I28*0.9,"Amber","Red")))</f>
        <v/>
      </c>
      <c r="L28" s="62" t="str">
        <f aca="false">IF($D28&lt;&gt;"Live","",IFERROR(HLOOKUP($E28,'SLA Tiers'!$C$4:$E$14,4,FALSE()),""))</f>
        <v/>
      </c>
      <c r="M28" s="63"/>
      <c r="N28" s="59" t="str">
        <f aca="false">IF(OR(M28="",L28=""),"",IF(M28&lt;=L28,"Green",IF(M28&lt;=L28*1.1,"Amber","Red")))</f>
        <v/>
      </c>
      <c r="O28" s="64" t="str">
        <f aca="false">IF($D28&lt;&gt;"Live","",IFERROR(HLOOKUP($E28,'SLA Tiers'!$C$4:$E$14,5,FALSE()),""))</f>
        <v/>
      </c>
      <c r="P28" s="65"/>
      <c r="Q28" s="59" t="str">
        <f aca="false">IF(OR(P28="",O28=""),"",IF(P28&lt;=O28,"Green",IF(P28&lt;=O28*1.1,"Amber","Red")))</f>
        <v/>
      </c>
      <c r="R28" s="60" t="str">
        <f aca="false">IF($D28&lt;&gt;"Live","",IFERROR(HLOOKUP($E28,'SLA Tiers'!$C$4:$E$14,6,FALSE()),""))</f>
        <v/>
      </c>
      <c r="S28" s="61"/>
      <c r="T28" s="59" t="str">
        <f aca="false">IF(OR(S28="",R28=""),"",IF(S28&gt;=R28,"Green",IF(S28&gt;=R28*0.9,"Amber","Red")))</f>
        <v/>
      </c>
      <c r="U28" s="60" t="str">
        <f aca="false">IF($D28&lt;&gt;"Live","",IFERROR(HLOOKUP($E28,'SLA Tiers'!$C$4:$E$14,7,FALSE()),""))</f>
        <v/>
      </c>
      <c r="V28" s="61"/>
      <c r="W28" s="59" t="str">
        <f aca="false">IF(OR(V28="",U28=""),"",IF(V28&gt;=U28,"Green",IF(V28&gt;=U28*0.9,"Amber","Red")))</f>
        <v/>
      </c>
      <c r="X28" s="64" t="str">
        <f aca="false">IF($D28&lt;&gt;"Live","",IFERROR(HLOOKUP($E28,'SLA Tiers'!$C$4:$E$14,8,FALSE()),""))</f>
        <v/>
      </c>
      <c r="Y28" s="65"/>
      <c r="Z28" s="59" t="str">
        <f aca="false">IF(OR(Y28="",X28=""),"",IF(Y28&lt;=X28,"Green",IF(Y28&lt;=X28*1.1,"Amber","Red")))</f>
        <v/>
      </c>
      <c r="AA28" s="64" t="str">
        <f aca="false">IF($D28&lt;&gt;"Live","",IFERROR(HLOOKUP($E28,'SLA Tiers'!$C$4:$E$14,9,FALSE()),""))</f>
        <v/>
      </c>
      <c r="AB28" s="65"/>
      <c r="AC28" s="59" t="str">
        <f aca="false">IF(OR(AB28="",AA28=""),"",IF(AB28&lt;=AA28,"Green",IF(AB28&lt;=AA28*1.1,"Amber","Red")))</f>
        <v/>
      </c>
      <c r="AD28" s="60" t="str">
        <f aca="false">IF($D28&lt;&gt;"Live","",IFERROR(HLOOKUP($E28,'SLA Tiers'!$C$4:$E$14,10,FALSE()),""))</f>
        <v/>
      </c>
      <c r="AE28" s="61"/>
      <c r="AF28" s="59" t="str">
        <f aca="false">IF(OR(AE28="",AD28=""),"",IF(AE28&gt;=AD28,"Green",IF(AE28&gt;=AD28*0.9,"Amber","Red")))</f>
        <v/>
      </c>
      <c r="AG28" s="64" t="str">
        <f aca="false">IF($D28&lt;&gt;"Live","",IFERROR(HLOOKUP($E28,'SLA Tiers'!$C$4:$E$14,11,FALSE()),""))</f>
        <v/>
      </c>
      <c r="AH28" s="65"/>
      <c r="AI28" s="59" t="str">
        <f aca="false">IF(OR(AH28="",AG28=""),"",IF(AH28&gt;=AG28,"Green",IF(AH28&gt;=AG28*0.9,"Amber","Red")))</f>
        <v/>
      </c>
    </row>
    <row r="29" customFormat="false" ht="19.5" hidden="false" customHeight="true" outlineLevel="0" collapsed="false">
      <c r="B29" s="35" t="n">
        <f aca="false">IF('Dashboard Portfolio'!B28="","",'Dashboard Portfolio'!B28)</f>
        <v>23</v>
      </c>
      <c r="C29" s="37" t="str">
        <f aca="false">IF('Dashboard Portfolio'!C28="","",'Dashboard Portfolio'!C28)</f>
        <v>Strategy — Performance vs Plan</v>
      </c>
      <c r="D29" s="35" t="str">
        <f aca="false">IF('Dashboard Portfolio'!E28="","",'Dashboard Portfolio'!E28)</f>
        <v>In Scoping</v>
      </c>
      <c r="E29" s="59" t="str">
        <f aca="false">IF('Dashboard Portfolio'!F28="","",'Dashboard Portfolio'!F28)</f>
        <v>P2</v>
      </c>
      <c r="F29" s="60" t="str">
        <f aca="false">IF($D29&lt;&gt;"Live","",IFERROR(HLOOKUP($E29,'SLA Tiers'!$C$4:$E$14,2,FALSE()),""))</f>
        <v/>
      </c>
      <c r="G29" s="61"/>
      <c r="H29" s="59" t="str">
        <f aca="false">IF(OR(G29="",F29=""),"",IF(G29&gt;=F29,"Green",IF(G29&gt;=F29*0.9,"Amber","Red")))</f>
        <v/>
      </c>
      <c r="I29" s="60" t="str">
        <f aca="false">IF($D29&lt;&gt;"Live","",IFERROR(HLOOKUP($E29,'SLA Tiers'!$C$4:$E$14,3,FALSE()),""))</f>
        <v/>
      </c>
      <c r="J29" s="61"/>
      <c r="K29" s="59" t="str">
        <f aca="false">IF(OR(J29="",I29=""),"",IF(J29&gt;=I29,"Green",IF(J29&gt;=I29*0.9,"Amber","Red")))</f>
        <v/>
      </c>
      <c r="L29" s="62" t="str">
        <f aca="false">IF($D29&lt;&gt;"Live","",IFERROR(HLOOKUP($E29,'SLA Tiers'!$C$4:$E$14,4,FALSE()),""))</f>
        <v/>
      </c>
      <c r="M29" s="63"/>
      <c r="N29" s="59" t="str">
        <f aca="false">IF(OR(M29="",L29=""),"",IF(M29&lt;=L29,"Green",IF(M29&lt;=L29*1.1,"Amber","Red")))</f>
        <v/>
      </c>
      <c r="O29" s="64" t="str">
        <f aca="false">IF($D29&lt;&gt;"Live","",IFERROR(HLOOKUP($E29,'SLA Tiers'!$C$4:$E$14,5,FALSE()),""))</f>
        <v/>
      </c>
      <c r="P29" s="65"/>
      <c r="Q29" s="59" t="str">
        <f aca="false">IF(OR(P29="",O29=""),"",IF(P29&lt;=O29,"Green",IF(P29&lt;=O29*1.1,"Amber","Red")))</f>
        <v/>
      </c>
      <c r="R29" s="60" t="str">
        <f aca="false">IF($D29&lt;&gt;"Live","",IFERROR(HLOOKUP($E29,'SLA Tiers'!$C$4:$E$14,6,FALSE()),""))</f>
        <v/>
      </c>
      <c r="S29" s="61"/>
      <c r="T29" s="59" t="str">
        <f aca="false">IF(OR(S29="",R29=""),"",IF(S29&gt;=R29,"Green",IF(S29&gt;=R29*0.9,"Amber","Red")))</f>
        <v/>
      </c>
      <c r="U29" s="60" t="str">
        <f aca="false">IF($D29&lt;&gt;"Live","",IFERROR(HLOOKUP($E29,'SLA Tiers'!$C$4:$E$14,7,FALSE()),""))</f>
        <v/>
      </c>
      <c r="V29" s="61"/>
      <c r="W29" s="59" t="str">
        <f aca="false">IF(OR(V29="",U29=""),"",IF(V29&gt;=U29,"Green",IF(V29&gt;=U29*0.9,"Amber","Red")))</f>
        <v/>
      </c>
      <c r="X29" s="64" t="str">
        <f aca="false">IF($D29&lt;&gt;"Live","",IFERROR(HLOOKUP($E29,'SLA Tiers'!$C$4:$E$14,8,FALSE()),""))</f>
        <v/>
      </c>
      <c r="Y29" s="65"/>
      <c r="Z29" s="59" t="str">
        <f aca="false">IF(OR(Y29="",X29=""),"",IF(Y29&lt;=X29,"Green",IF(Y29&lt;=X29*1.1,"Amber","Red")))</f>
        <v/>
      </c>
      <c r="AA29" s="64" t="str">
        <f aca="false">IF($D29&lt;&gt;"Live","",IFERROR(HLOOKUP($E29,'SLA Tiers'!$C$4:$E$14,9,FALSE()),""))</f>
        <v/>
      </c>
      <c r="AB29" s="65"/>
      <c r="AC29" s="59" t="str">
        <f aca="false">IF(OR(AB29="",AA29=""),"",IF(AB29&lt;=AA29,"Green",IF(AB29&lt;=AA29*1.1,"Amber","Red")))</f>
        <v/>
      </c>
      <c r="AD29" s="60" t="str">
        <f aca="false">IF($D29&lt;&gt;"Live","",IFERROR(HLOOKUP($E29,'SLA Tiers'!$C$4:$E$14,10,FALSE()),""))</f>
        <v/>
      </c>
      <c r="AE29" s="61"/>
      <c r="AF29" s="59" t="str">
        <f aca="false">IF(OR(AE29="",AD29=""),"",IF(AE29&gt;=AD29,"Green",IF(AE29&gt;=AD29*0.9,"Amber","Red")))</f>
        <v/>
      </c>
      <c r="AG29" s="64" t="str">
        <f aca="false">IF($D29&lt;&gt;"Live","",IFERROR(HLOOKUP($E29,'SLA Tiers'!$C$4:$E$14,11,FALSE()),""))</f>
        <v/>
      </c>
      <c r="AH29" s="65"/>
      <c r="AI29" s="59" t="str">
        <f aca="false">IF(OR(AH29="",AG29=""),"",IF(AH29&gt;=AG29,"Green",IF(AH29&gt;=AG29*0.9,"Amber","Red")))</f>
        <v/>
      </c>
    </row>
    <row r="30" customFormat="false" ht="19.5" hidden="false" customHeight="true" outlineLevel="0" collapsed="false">
      <c r="B30" s="35" t="n">
        <f aca="false">IF('Dashboard Portfolio'!B29="","",'Dashboard Portfolio'!B29)</f>
        <v>24</v>
      </c>
      <c r="C30" s="37" t="str">
        <f aca="false">IF('Dashboard Portfolio'!C29="","",'Dashboard Portfolio'!C29)</f>
        <v>Strategy — TBD #4</v>
      </c>
      <c r="D30" s="35" t="str">
        <f aca="false">IF('Dashboard Portfolio'!E29="","",'Dashboard Portfolio'!E29)</f>
        <v>In Scoping</v>
      </c>
      <c r="E30" s="59" t="str">
        <f aca="false">IF('Dashboard Portfolio'!F29="","",'Dashboard Portfolio'!F29)</f>
        <v>P3</v>
      </c>
      <c r="F30" s="60" t="str">
        <f aca="false">IF($D30&lt;&gt;"Live","",IFERROR(HLOOKUP($E30,'SLA Tiers'!$C$4:$E$14,2,FALSE()),""))</f>
        <v/>
      </c>
      <c r="G30" s="61"/>
      <c r="H30" s="59" t="str">
        <f aca="false">IF(OR(G30="",F30=""),"",IF(G30&gt;=F30,"Green",IF(G30&gt;=F30*0.9,"Amber","Red")))</f>
        <v/>
      </c>
      <c r="I30" s="60" t="str">
        <f aca="false">IF($D30&lt;&gt;"Live","",IFERROR(HLOOKUP($E30,'SLA Tiers'!$C$4:$E$14,3,FALSE()),""))</f>
        <v/>
      </c>
      <c r="J30" s="61"/>
      <c r="K30" s="59" t="str">
        <f aca="false">IF(OR(J30="",I30=""),"",IF(J30&gt;=I30,"Green",IF(J30&gt;=I30*0.9,"Amber","Red")))</f>
        <v/>
      </c>
      <c r="L30" s="62" t="str">
        <f aca="false">IF($D30&lt;&gt;"Live","",IFERROR(HLOOKUP($E30,'SLA Tiers'!$C$4:$E$14,4,FALSE()),""))</f>
        <v/>
      </c>
      <c r="M30" s="63"/>
      <c r="N30" s="59" t="str">
        <f aca="false">IF(OR(M30="",L30=""),"",IF(M30&lt;=L30,"Green",IF(M30&lt;=L30*1.1,"Amber","Red")))</f>
        <v/>
      </c>
      <c r="O30" s="64" t="str">
        <f aca="false">IF($D30&lt;&gt;"Live","",IFERROR(HLOOKUP($E30,'SLA Tiers'!$C$4:$E$14,5,FALSE()),""))</f>
        <v/>
      </c>
      <c r="P30" s="65"/>
      <c r="Q30" s="59" t="str">
        <f aca="false">IF(OR(P30="",O30=""),"",IF(P30&lt;=O30,"Green",IF(P30&lt;=O30*1.1,"Amber","Red")))</f>
        <v/>
      </c>
      <c r="R30" s="60" t="str">
        <f aca="false">IF($D30&lt;&gt;"Live","",IFERROR(HLOOKUP($E30,'SLA Tiers'!$C$4:$E$14,6,FALSE()),""))</f>
        <v/>
      </c>
      <c r="S30" s="61"/>
      <c r="T30" s="59" t="str">
        <f aca="false">IF(OR(S30="",R30=""),"",IF(S30&gt;=R30,"Green",IF(S30&gt;=R30*0.9,"Amber","Red")))</f>
        <v/>
      </c>
      <c r="U30" s="60" t="str">
        <f aca="false">IF($D30&lt;&gt;"Live","",IFERROR(HLOOKUP($E30,'SLA Tiers'!$C$4:$E$14,7,FALSE()),""))</f>
        <v/>
      </c>
      <c r="V30" s="61"/>
      <c r="W30" s="59" t="str">
        <f aca="false">IF(OR(V30="",U30=""),"",IF(V30&gt;=U30,"Green",IF(V30&gt;=U30*0.9,"Amber","Red")))</f>
        <v/>
      </c>
      <c r="X30" s="64" t="str">
        <f aca="false">IF($D30&lt;&gt;"Live","",IFERROR(HLOOKUP($E30,'SLA Tiers'!$C$4:$E$14,8,FALSE()),""))</f>
        <v/>
      </c>
      <c r="Y30" s="65"/>
      <c r="Z30" s="59" t="str">
        <f aca="false">IF(OR(Y30="",X30=""),"",IF(Y30&lt;=X30,"Green",IF(Y30&lt;=X30*1.1,"Amber","Red")))</f>
        <v/>
      </c>
      <c r="AA30" s="64" t="str">
        <f aca="false">IF($D30&lt;&gt;"Live","",IFERROR(HLOOKUP($E30,'SLA Tiers'!$C$4:$E$14,9,FALSE()),""))</f>
        <v/>
      </c>
      <c r="AB30" s="65"/>
      <c r="AC30" s="59" t="str">
        <f aca="false">IF(OR(AB30="",AA30=""),"",IF(AB30&lt;=AA30,"Green",IF(AB30&lt;=AA30*1.1,"Amber","Red")))</f>
        <v/>
      </c>
      <c r="AD30" s="60" t="str">
        <f aca="false">IF($D30&lt;&gt;"Live","",IFERROR(HLOOKUP($E30,'SLA Tiers'!$C$4:$E$14,10,FALSE()),""))</f>
        <v/>
      </c>
      <c r="AE30" s="61"/>
      <c r="AF30" s="59" t="str">
        <f aca="false">IF(OR(AE30="",AD30=""),"",IF(AE30&gt;=AD30,"Green",IF(AE30&gt;=AD30*0.9,"Amber","Red")))</f>
        <v/>
      </c>
      <c r="AG30" s="64" t="str">
        <f aca="false">IF($D30&lt;&gt;"Live","",IFERROR(HLOOKUP($E30,'SLA Tiers'!$C$4:$E$14,11,FALSE()),""))</f>
        <v/>
      </c>
      <c r="AH30" s="65"/>
      <c r="AI30" s="59" t="str">
        <f aca="false">IF(OR(AH30="",AG30=""),"",IF(AH30&gt;=AG30,"Green",IF(AH30&gt;=AG30*0.9,"Amber","Red")))</f>
        <v/>
      </c>
    </row>
    <row r="31" customFormat="false" ht="19.5" hidden="false" customHeight="true" outlineLevel="0" collapsed="false">
      <c r="B31" s="35" t="n">
        <f aca="false">IF('Dashboard Portfolio'!B30="","",'Dashboard Portfolio'!B30)</f>
        <v>25</v>
      </c>
      <c r="C31" s="37" t="str">
        <f aca="false">IF('Dashboard Portfolio'!C30="","",'Dashboard Portfolio'!C30)</f>
        <v>IT Tickets — SLA &amp; Volume</v>
      </c>
      <c r="D31" s="35" t="str">
        <f aca="false">IF('Dashboard Portfolio'!E30="","",'Dashboard Portfolio'!E30)</f>
        <v>In Build</v>
      </c>
      <c r="E31" s="59" t="str">
        <f aca="false">IF('Dashboard Portfolio'!F30="","",'Dashboard Portfolio'!F30)</f>
        <v>P2</v>
      </c>
      <c r="F31" s="60" t="str">
        <f aca="false">IF($D31&lt;&gt;"Live","",IFERROR(HLOOKUP($E31,'SLA Tiers'!$C$4:$E$14,2,FALSE()),""))</f>
        <v/>
      </c>
      <c r="G31" s="61"/>
      <c r="H31" s="59" t="str">
        <f aca="false">IF(OR(G31="",F31=""),"",IF(G31&gt;=F31,"Green",IF(G31&gt;=F31*0.9,"Amber","Red")))</f>
        <v/>
      </c>
      <c r="I31" s="60" t="str">
        <f aca="false">IF($D31&lt;&gt;"Live","",IFERROR(HLOOKUP($E31,'SLA Tiers'!$C$4:$E$14,3,FALSE()),""))</f>
        <v/>
      </c>
      <c r="J31" s="61"/>
      <c r="K31" s="59" t="str">
        <f aca="false">IF(OR(J31="",I31=""),"",IF(J31&gt;=I31,"Green",IF(J31&gt;=I31*0.9,"Amber","Red")))</f>
        <v/>
      </c>
      <c r="L31" s="62" t="str">
        <f aca="false">IF($D31&lt;&gt;"Live","",IFERROR(HLOOKUP($E31,'SLA Tiers'!$C$4:$E$14,4,FALSE()),""))</f>
        <v/>
      </c>
      <c r="M31" s="63"/>
      <c r="N31" s="59" t="str">
        <f aca="false">IF(OR(M31="",L31=""),"",IF(M31&lt;=L31,"Green",IF(M31&lt;=L31*1.1,"Amber","Red")))</f>
        <v/>
      </c>
      <c r="O31" s="64" t="str">
        <f aca="false">IF($D31&lt;&gt;"Live","",IFERROR(HLOOKUP($E31,'SLA Tiers'!$C$4:$E$14,5,FALSE()),""))</f>
        <v/>
      </c>
      <c r="P31" s="65"/>
      <c r="Q31" s="59" t="str">
        <f aca="false">IF(OR(P31="",O31=""),"",IF(P31&lt;=O31,"Green",IF(P31&lt;=O31*1.1,"Amber","Red")))</f>
        <v/>
      </c>
      <c r="R31" s="60" t="str">
        <f aca="false">IF($D31&lt;&gt;"Live","",IFERROR(HLOOKUP($E31,'SLA Tiers'!$C$4:$E$14,6,FALSE()),""))</f>
        <v/>
      </c>
      <c r="S31" s="61"/>
      <c r="T31" s="59" t="str">
        <f aca="false">IF(OR(S31="",R31=""),"",IF(S31&gt;=R31,"Green",IF(S31&gt;=R31*0.9,"Amber","Red")))</f>
        <v/>
      </c>
      <c r="U31" s="60" t="str">
        <f aca="false">IF($D31&lt;&gt;"Live","",IFERROR(HLOOKUP($E31,'SLA Tiers'!$C$4:$E$14,7,FALSE()),""))</f>
        <v/>
      </c>
      <c r="V31" s="61"/>
      <c r="W31" s="59" t="str">
        <f aca="false">IF(OR(V31="",U31=""),"",IF(V31&gt;=U31,"Green",IF(V31&gt;=U31*0.9,"Amber","Red")))</f>
        <v/>
      </c>
      <c r="X31" s="64" t="str">
        <f aca="false">IF($D31&lt;&gt;"Live","",IFERROR(HLOOKUP($E31,'SLA Tiers'!$C$4:$E$14,8,FALSE()),""))</f>
        <v/>
      </c>
      <c r="Y31" s="65"/>
      <c r="Z31" s="59" t="str">
        <f aca="false">IF(OR(Y31="",X31=""),"",IF(Y31&lt;=X31,"Green",IF(Y31&lt;=X31*1.1,"Amber","Red")))</f>
        <v/>
      </c>
      <c r="AA31" s="64" t="str">
        <f aca="false">IF($D31&lt;&gt;"Live","",IFERROR(HLOOKUP($E31,'SLA Tiers'!$C$4:$E$14,9,FALSE()),""))</f>
        <v/>
      </c>
      <c r="AB31" s="65"/>
      <c r="AC31" s="59" t="str">
        <f aca="false">IF(OR(AB31="",AA31=""),"",IF(AB31&lt;=AA31,"Green",IF(AB31&lt;=AA31*1.1,"Amber","Red")))</f>
        <v/>
      </c>
      <c r="AD31" s="60" t="str">
        <f aca="false">IF($D31&lt;&gt;"Live","",IFERROR(HLOOKUP($E31,'SLA Tiers'!$C$4:$E$14,10,FALSE()),""))</f>
        <v/>
      </c>
      <c r="AE31" s="61"/>
      <c r="AF31" s="59" t="str">
        <f aca="false">IF(OR(AE31="",AD31=""),"",IF(AE31&gt;=AD31,"Green",IF(AE31&gt;=AD31*0.9,"Amber","Red")))</f>
        <v/>
      </c>
      <c r="AG31" s="64" t="str">
        <f aca="false">IF($D31&lt;&gt;"Live","",IFERROR(HLOOKUP($E31,'SLA Tiers'!$C$4:$E$14,11,FALSE()),""))</f>
        <v/>
      </c>
      <c r="AH31" s="65"/>
      <c r="AI31" s="59" t="str">
        <f aca="false">IF(OR(AH31="",AG31=""),"",IF(AH31&gt;=AG31,"Green",IF(AH31&gt;=AG31*0.9,"Amber","Red")))</f>
        <v/>
      </c>
    </row>
    <row r="32" customFormat="false" ht="19.5" hidden="false" customHeight="true" outlineLevel="0" collapsed="false">
      <c r="B32" s="35" t="n">
        <f aca="false">IF('Dashboard Portfolio'!B31="","",'Dashboard Portfolio'!B31)</f>
        <v>26</v>
      </c>
      <c r="C32" s="37" t="str">
        <f aca="false">IF('Dashboard Portfolio'!C31="","",'Dashboard Portfolio'!C31)</f>
        <v>IT Tickets — Backlog &amp; Aging</v>
      </c>
      <c r="D32" s="35" t="str">
        <f aca="false">IF('Dashboard Portfolio'!E31="","",'Dashboard Portfolio'!E31)</f>
        <v>In Build</v>
      </c>
      <c r="E32" s="59" t="str">
        <f aca="false">IF('Dashboard Portfolio'!F31="","",'Dashboard Portfolio'!F31)</f>
        <v>P2</v>
      </c>
      <c r="F32" s="60" t="str">
        <f aca="false">IF($D32&lt;&gt;"Live","",IFERROR(HLOOKUP($E32,'SLA Tiers'!$C$4:$E$14,2,FALSE()),""))</f>
        <v/>
      </c>
      <c r="G32" s="61"/>
      <c r="H32" s="59" t="str">
        <f aca="false">IF(OR(G32="",F32=""),"",IF(G32&gt;=F32,"Green",IF(G32&gt;=F32*0.9,"Amber","Red")))</f>
        <v/>
      </c>
      <c r="I32" s="60" t="str">
        <f aca="false">IF($D32&lt;&gt;"Live","",IFERROR(HLOOKUP($E32,'SLA Tiers'!$C$4:$E$14,3,FALSE()),""))</f>
        <v/>
      </c>
      <c r="J32" s="61"/>
      <c r="K32" s="59" t="str">
        <f aca="false">IF(OR(J32="",I32=""),"",IF(J32&gt;=I32,"Green",IF(J32&gt;=I32*0.9,"Amber","Red")))</f>
        <v/>
      </c>
      <c r="L32" s="62" t="str">
        <f aca="false">IF($D32&lt;&gt;"Live","",IFERROR(HLOOKUP($E32,'SLA Tiers'!$C$4:$E$14,4,FALSE()),""))</f>
        <v/>
      </c>
      <c r="M32" s="63"/>
      <c r="N32" s="59" t="str">
        <f aca="false">IF(OR(M32="",L32=""),"",IF(M32&lt;=L32,"Green",IF(M32&lt;=L32*1.1,"Amber","Red")))</f>
        <v/>
      </c>
      <c r="O32" s="64" t="str">
        <f aca="false">IF($D32&lt;&gt;"Live","",IFERROR(HLOOKUP($E32,'SLA Tiers'!$C$4:$E$14,5,FALSE()),""))</f>
        <v/>
      </c>
      <c r="P32" s="65"/>
      <c r="Q32" s="59" t="str">
        <f aca="false">IF(OR(P32="",O32=""),"",IF(P32&lt;=O32,"Green",IF(P32&lt;=O32*1.1,"Amber","Red")))</f>
        <v/>
      </c>
      <c r="R32" s="60" t="str">
        <f aca="false">IF($D32&lt;&gt;"Live","",IFERROR(HLOOKUP($E32,'SLA Tiers'!$C$4:$E$14,6,FALSE()),""))</f>
        <v/>
      </c>
      <c r="S32" s="61"/>
      <c r="T32" s="59" t="str">
        <f aca="false">IF(OR(S32="",R32=""),"",IF(S32&gt;=R32,"Green",IF(S32&gt;=R32*0.9,"Amber","Red")))</f>
        <v/>
      </c>
      <c r="U32" s="60" t="str">
        <f aca="false">IF($D32&lt;&gt;"Live","",IFERROR(HLOOKUP($E32,'SLA Tiers'!$C$4:$E$14,7,FALSE()),""))</f>
        <v/>
      </c>
      <c r="V32" s="61"/>
      <c r="W32" s="59" t="str">
        <f aca="false">IF(OR(V32="",U32=""),"",IF(V32&gt;=U32,"Green",IF(V32&gt;=U32*0.9,"Amber","Red")))</f>
        <v/>
      </c>
      <c r="X32" s="64" t="str">
        <f aca="false">IF($D32&lt;&gt;"Live","",IFERROR(HLOOKUP($E32,'SLA Tiers'!$C$4:$E$14,8,FALSE()),""))</f>
        <v/>
      </c>
      <c r="Y32" s="65"/>
      <c r="Z32" s="59" t="str">
        <f aca="false">IF(OR(Y32="",X32=""),"",IF(Y32&lt;=X32,"Green",IF(Y32&lt;=X32*1.1,"Amber","Red")))</f>
        <v/>
      </c>
      <c r="AA32" s="64" t="str">
        <f aca="false">IF($D32&lt;&gt;"Live","",IFERROR(HLOOKUP($E32,'SLA Tiers'!$C$4:$E$14,9,FALSE()),""))</f>
        <v/>
      </c>
      <c r="AB32" s="65"/>
      <c r="AC32" s="59" t="str">
        <f aca="false">IF(OR(AB32="",AA32=""),"",IF(AB32&lt;=AA32,"Green",IF(AB32&lt;=AA32*1.1,"Amber","Red")))</f>
        <v/>
      </c>
      <c r="AD32" s="60" t="str">
        <f aca="false">IF($D32&lt;&gt;"Live","",IFERROR(HLOOKUP($E32,'SLA Tiers'!$C$4:$E$14,10,FALSE()),""))</f>
        <v/>
      </c>
      <c r="AE32" s="61"/>
      <c r="AF32" s="59" t="str">
        <f aca="false">IF(OR(AE32="",AD32=""),"",IF(AE32&gt;=AD32,"Green",IF(AE32&gt;=AD32*0.9,"Amber","Red")))</f>
        <v/>
      </c>
      <c r="AG32" s="64" t="str">
        <f aca="false">IF($D32&lt;&gt;"Live","",IFERROR(HLOOKUP($E32,'SLA Tiers'!$C$4:$E$14,11,FALSE()),""))</f>
        <v/>
      </c>
      <c r="AH32" s="65"/>
      <c r="AI32" s="59" t="str">
        <f aca="false">IF(OR(AH32="",AG32=""),"",IF(AH32&gt;=AG32,"Green",IF(AH32&gt;=AG32*0.9,"Amber","Red")))</f>
        <v/>
      </c>
    </row>
    <row r="33" customFormat="false" ht="19.5" hidden="false" customHeight="true" outlineLevel="0" collapsed="false">
      <c r="B33" s="35" t="n">
        <f aca="false">IF('Dashboard Portfolio'!B32="","",'Dashboard Portfolio'!B32)</f>
        <v>27</v>
      </c>
      <c r="C33" s="37" t="str">
        <f aca="false">IF('Dashboard Portfolio'!C32="","",'Dashboard Portfolio'!C32)</f>
        <v>HCM — Headcount &amp; Movements</v>
      </c>
      <c r="D33" s="35" t="str">
        <f aca="false">IF('Dashboard Portfolio'!E32="","",'Dashboard Portfolio'!E32)</f>
        <v>In Build</v>
      </c>
      <c r="E33" s="59" t="str">
        <f aca="false">IF('Dashboard Portfolio'!F32="","",'Dashboard Portfolio'!F32)</f>
        <v>P2</v>
      </c>
      <c r="F33" s="60" t="str">
        <f aca="false">IF($D33&lt;&gt;"Live","",IFERROR(HLOOKUP($E33,'SLA Tiers'!$C$4:$E$14,2,FALSE()),""))</f>
        <v/>
      </c>
      <c r="G33" s="61"/>
      <c r="H33" s="59" t="str">
        <f aca="false">IF(OR(G33="",F33=""),"",IF(G33&gt;=F33,"Green",IF(G33&gt;=F33*0.9,"Amber","Red")))</f>
        <v/>
      </c>
      <c r="I33" s="60" t="str">
        <f aca="false">IF($D33&lt;&gt;"Live","",IFERROR(HLOOKUP($E33,'SLA Tiers'!$C$4:$E$14,3,FALSE()),""))</f>
        <v/>
      </c>
      <c r="J33" s="61"/>
      <c r="K33" s="59" t="str">
        <f aca="false">IF(OR(J33="",I33=""),"",IF(J33&gt;=I33,"Green",IF(J33&gt;=I33*0.9,"Amber","Red")))</f>
        <v/>
      </c>
      <c r="L33" s="62" t="str">
        <f aca="false">IF($D33&lt;&gt;"Live","",IFERROR(HLOOKUP($E33,'SLA Tiers'!$C$4:$E$14,4,FALSE()),""))</f>
        <v/>
      </c>
      <c r="M33" s="63"/>
      <c r="N33" s="59" t="str">
        <f aca="false">IF(OR(M33="",L33=""),"",IF(M33&lt;=L33,"Green",IF(M33&lt;=L33*1.1,"Amber","Red")))</f>
        <v/>
      </c>
      <c r="O33" s="64" t="str">
        <f aca="false">IF($D33&lt;&gt;"Live","",IFERROR(HLOOKUP($E33,'SLA Tiers'!$C$4:$E$14,5,FALSE()),""))</f>
        <v/>
      </c>
      <c r="P33" s="65"/>
      <c r="Q33" s="59" t="str">
        <f aca="false">IF(OR(P33="",O33=""),"",IF(P33&lt;=O33,"Green",IF(P33&lt;=O33*1.1,"Amber","Red")))</f>
        <v/>
      </c>
      <c r="R33" s="60" t="str">
        <f aca="false">IF($D33&lt;&gt;"Live","",IFERROR(HLOOKUP($E33,'SLA Tiers'!$C$4:$E$14,6,FALSE()),""))</f>
        <v/>
      </c>
      <c r="S33" s="61"/>
      <c r="T33" s="59" t="str">
        <f aca="false">IF(OR(S33="",R33=""),"",IF(S33&gt;=R33,"Green",IF(S33&gt;=R33*0.9,"Amber","Red")))</f>
        <v/>
      </c>
      <c r="U33" s="60" t="str">
        <f aca="false">IF($D33&lt;&gt;"Live","",IFERROR(HLOOKUP($E33,'SLA Tiers'!$C$4:$E$14,7,FALSE()),""))</f>
        <v/>
      </c>
      <c r="V33" s="61"/>
      <c r="W33" s="59" t="str">
        <f aca="false">IF(OR(V33="",U33=""),"",IF(V33&gt;=U33,"Green",IF(V33&gt;=U33*0.9,"Amber","Red")))</f>
        <v/>
      </c>
      <c r="X33" s="64" t="str">
        <f aca="false">IF($D33&lt;&gt;"Live","",IFERROR(HLOOKUP($E33,'SLA Tiers'!$C$4:$E$14,8,FALSE()),""))</f>
        <v/>
      </c>
      <c r="Y33" s="65"/>
      <c r="Z33" s="59" t="str">
        <f aca="false">IF(OR(Y33="",X33=""),"",IF(Y33&lt;=X33,"Green",IF(Y33&lt;=X33*1.1,"Amber","Red")))</f>
        <v/>
      </c>
      <c r="AA33" s="64" t="str">
        <f aca="false">IF($D33&lt;&gt;"Live","",IFERROR(HLOOKUP($E33,'SLA Tiers'!$C$4:$E$14,9,FALSE()),""))</f>
        <v/>
      </c>
      <c r="AB33" s="65"/>
      <c r="AC33" s="59" t="str">
        <f aca="false">IF(OR(AB33="",AA33=""),"",IF(AB33&lt;=AA33,"Green",IF(AB33&lt;=AA33*1.1,"Amber","Red")))</f>
        <v/>
      </c>
      <c r="AD33" s="60" t="str">
        <f aca="false">IF($D33&lt;&gt;"Live","",IFERROR(HLOOKUP($E33,'SLA Tiers'!$C$4:$E$14,10,FALSE()),""))</f>
        <v/>
      </c>
      <c r="AE33" s="61"/>
      <c r="AF33" s="59" t="str">
        <f aca="false">IF(OR(AE33="",AD33=""),"",IF(AE33&gt;=AD33,"Green",IF(AE33&gt;=AD33*0.9,"Amber","Red")))</f>
        <v/>
      </c>
      <c r="AG33" s="64" t="str">
        <f aca="false">IF($D33&lt;&gt;"Live","",IFERROR(HLOOKUP($E33,'SLA Tiers'!$C$4:$E$14,11,FALSE()),""))</f>
        <v/>
      </c>
      <c r="AH33" s="65"/>
      <c r="AI33" s="59" t="str">
        <f aca="false">IF(OR(AH33="",AG33=""),"",IF(AH33&gt;=AG33,"Green",IF(AH33&gt;=AG33*0.9,"Amber","Red")))</f>
        <v/>
      </c>
    </row>
    <row r="34" customFormat="false" ht="19.5" hidden="false" customHeight="true" outlineLevel="0" collapsed="false">
      <c r="B34" s="35" t="n">
        <f aca="false">IF('Dashboard Portfolio'!B33="","",'Dashboard Portfolio'!B33)</f>
        <v>28</v>
      </c>
      <c r="C34" s="37" t="str">
        <f aca="false">IF('Dashboard Portfolio'!C33="","",'Dashboard Portfolio'!C33)</f>
        <v>HCM — Attrition &amp; Time-to-Hire</v>
      </c>
      <c r="D34" s="35" t="str">
        <f aca="false">IF('Dashboard Portfolio'!E33="","",'Dashboard Portfolio'!E33)</f>
        <v>In Build</v>
      </c>
      <c r="E34" s="59" t="str">
        <f aca="false">IF('Dashboard Portfolio'!F33="","",'Dashboard Portfolio'!F33)</f>
        <v>P2</v>
      </c>
      <c r="F34" s="60" t="str">
        <f aca="false">IF($D34&lt;&gt;"Live","",IFERROR(HLOOKUP($E34,'SLA Tiers'!$C$4:$E$14,2,FALSE()),""))</f>
        <v/>
      </c>
      <c r="G34" s="61"/>
      <c r="H34" s="59" t="str">
        <f aca="false">IF(OR(G34="",F34=""),"",IF(G34&gt;=F34,"Green",IF(G34&gt;=F34*0.9,"Amber","Red")))</f>
        <v/>
      </c>
      <c r="I34" s="60" t="str">
        <f aca="false">IF($D34&lt;&gt;"Live","",IFERROR(HLOOKUP($E34,'SLA Tiers'!$C$4:$E$14,3,FALSE()),""))</f>
        <v/>
      </c>
      <c r="J34" s="61"/>
      <c r="K34" s="59" t="str">
        <f aca="false">IF(OR(J34="",I34=""),"",IF(J34&gt;=I34,"Green",IF(J34&gt;=I34*0.9,"Amber","Red")))</f>
        <v/>
      </c>
      <c r="L34" s="62" t="str">
        <f aca="false">IF($D34&lt;&gt;"Live","",IFERROR(HLOOKUP($E34,'SLA Tiers'!$C$4:$E$14,4,FALSE()),""))</f>
        <v/>
      </c>
      <c r="M34" s="63"/>
      <c r="N34" s="59" t="str">
        <f aca="false">IF(OR(M34="",L34=""),"",IF(M34&lt;=L34,"Green",IF(M34&lt;=L34*1.1,"Amber","Red")))</f>
        <v/>
      </c>
      <c r="O34" s="64" t="str">
        <f aca="false">IF($D34&lt;&gt;"Live","",IFERROR(HLOOKUP($E34,'SLA Tiers'!$C$4:$E$14,5,FALSE()),""))</f>
        <v/>
      </c>
      <c r="P34" s="65"/>
      <c r="Q34" s="59" t="str">
        <f aca="false">IF(OR(P34="",O34=""),"",IF(P34&lt;=O34,"Green",IF(P34&lt;=O34*1.1,"Amber","Red")))</f>
        <v/>
      </c>
      <c r="R34" s="60" t="str">
        <f aca="false">IF($D34&lt;&gt;"Live","",IFERROR(HLOOKUP($E34,'SLA Tiers'!$C$4:$E$14,6,FALSE()),""))</f>
        <v/>
      </c>
      <c r="S34" s="61"/>
      <c r="T34" s="59" t="str">
        <f aca="false">IF(OR(S34="",R34=""),"",IF(S34&gt;=R34,"Green",IF(S34&gt;=R34*0.9,"Amber","Red")))</f>
        <v/>
      </c>
      <c r="U34" s="60" t="str">
        <f aca="false">IF($D34&lt;&gt;"Live","",IFERROR(HLOOKUP($E34,'SLA Tiers'!$C$4:$E$14,7,FALSE()),""))</f>
        <v/>
      </c>
      <c r="V34" s="61"/>
      <c r="W34" s="59" t="str">
        <f aca="false">IF(OR(V34="",U34=""),"",IF(V34&gt;=U34,"Green",IF(V34&gt;=U34*0.9,"Amber","Red")))</f>
        <v/>
      </c>
      <c r="X34" s="64" t="str">
        <f aca="false">IF($D34&lt;&gt;"Live","",IFERROR(HLOOKUP($E34,'SLA Tiers'!$C$4:$E$14,8,FALSE()),""))</f>
        <v/>
      </c>
      <c r="Y34" s="65"/>
      <c r="Z34" s="59" t="str">
        <f aca="false">IF(OR(Y34="",X34=""),"",IF(Y34&lt;=X34,"Green",IF(Y34&lt;=X34*1.1,"Amber","Red")))</f>
        <v/>
      </c>
      <c r="AA34" s="64" t="str">
        <f aca="false">IF($D34&lt;&gt;"Live","",IFERROR(HLOOKUP($E34,'SLA Tiers'!$C$4:$E$14,9,FALSE()),""))</f>
        <v/>
      </c>
      <c r="AB34" s="65"/>
      <c r="AC34" s="59" t="str">
        <f aca="false">IF(OR(AB34="",AA34=""),"",IF(AB34&lt;=AA34,"Green",IF(AB34&lt;=AA34*1.1,"Amber","Red")))</f>
        <v/>
      </c>
      <c r="AD34" s="60" t="str">
        <f aca="false">IF($D34&lt;&gt;"Live","",IFERROR(HLOOKUP($E34,'SLA Tiers'!$C$4:$E$14,10,FALSE()),""))</f>
        <v/>
      </c>
      <c r="AE34" s="61"/>
      <c r="AF34" s="59" t="str">
        <f aca="false">IF(OR(AE34="",AD34=""),"",IF(AE34&gt;=AD34,"Green",IF(AE34&gt;=AD34*0.9,"Amber","Red")))</f>
        <v/>
      </c>
      <c r="AG34" s="64" t="str">
        <f aca="false">IF($D34&lt;&gt;"Live","",IFERROR(HLOOKUP($E34,'SLA Tiers'!$C$4:$E$14,11,FALSE()),""))</f>
        <v/>
      </c>
      <c r="AH34" s="65"/>
      <c r="AI34" s="59" t="str">
        <f aca="false">IF(OR(AH34="",AG34=""),"",IF(AH34&gt;=AG34,"Green",IF(AH34&gt;=AG34*0.9,"Amber","Red")))</f>
        <v/>
      </c>
    </row>
    <row r="35" customFormat="false" ht="19.5" hidden="false" customHeight="true" outlineLevel="0" collapsed="false">
      <c r="B35" s="35" t="n">
        <f aca="false">IF('Dashboard Portfolio'!B34="","",'Dashboard Portfolio'!B34)</f>
        <v>29</v>
      </c>
      <c r="C35" s="37" t="str">
        <f aca="false">IF('Dashboard Portfolio'!C34="","",'Dashboard Portfolio'!C34)</f>
        <v>TBD A</v>
      </c>
      <c r="D35" s="35" t="str">
        <f aca="false">IF('Dashboard Portfolio'!E34="","",'Dashboard Portfolio'!E34)</f>
        <v>Not Started</v>
      </c>
      <c r="E35" s="59" t="str">
        <f aca="false">IF('Dashboard Portfolio'!F34="","",'Dashboard Portfolio'!F34)</f>
        <v>P3</v>
      </c>
      <c r="F35" s="60" t="str">
        <f aca="false">IF($D35&lt;&gt;"Live","",IFERROR(HLOOKUP($E35,'SLA Tiers'!$C$4:$E$14,2,FALSE()),""))</f>
        <v/>
      </c>
      <c r="G35" s="61"/>
      <c r="H35" s="59" t="str">
        <f aca="false">IF(OR(G35="",F35=""),"",IF(G35&gt;=F35,"Green",IF(G35&gt;=F35*0.9,"Amber","Red")))</f>
        <v/>
      </c>
      <c r="I35" s="60" t="str">
        <f aca="false">IF($D35&lt;&gt;"Live","",IFERROR(HLOOKUP($E35,'SLA Tiers'!$C$4:$E$14,3,FALSE()),""))</f>
        <v/>
      </c>
      <c r="J35" s="61"/>
      <c r="K35" s="59" t="str">
        <f aca="false">IF(OR(J35="",I35=""),"",IF(J35&gt;=I35,"Green",IF(J35&gt;=I35*0.9,"Amber","Red")))</f>
        <v/>
      </c>
      <c r="L35" s="62" t="str">
        <f aca="false">IF($D35&lt;&gt;"Live","",IFERROR(HLOOKUP($E35,'SLA Tiers'!$C$4:$E$14,4,FALSE()),""))</f>
        <v/>
      </c>
      <c r="M35" s="63"/>
      <c r="N35" s="59" t="str">
        <f aca="false">IF(OR(M35="",L35=""),"",IF(M35&lt;=L35,"Green",IF(M35&lt;=L35*1.1,"Amber","Red")))</f>
        <v/>
      </c>
      <c r="O35" s="64" t="str">
        <f aca="false">IF($D35&lt;&gt;"Live","",IFERROR(HLOOKUP($E35,'SLA Tiers'!$C$4:$E$14,5,FALSE()),""))</f>
        <v/>
      </c>
      <c r="P35" s="65"/>
      <c r="Q35" s="59" t="str">
        <f aca="false">IF(OR(P35="",O35=""),"",IF(P35&lt;=O35,"Green",IF(P35&lt;=O35*1.1,"Amber","Red")))</f>
        <v/>
      </c>
      <c r="R35" s="60" t="str">
        <f aca="false">IF($D35&lt;&gt;"Live","",IFERROR(HLOOKUP($E35,'SLA Tiers'!$C$4:$E$14,6,FALSE()),""))</f>
        <v/>
      </c>
      <c r="S35" s="61"/>
      <c r="T35" s="59" t="str">
        <f aca="false">IF(OR(S35="",R35=""),"",IF(S35&gt;=R35,"Green",IF(S35&gt;=R35*0.9,"Amber","Red")))</f>
        <v/>
      </c>
      <c r="U35" s="60" t="str">
        <f aca="false">IF($D35&lt;&gt;"Live","",IFERROR(HLOOKUP($E35,'SLA Tiers'!$C$4:$E$14,7,FALSE()),""))</f>
        <v/>
      </c>
      <c r="V35" s="61"/>
      <c r="W35" s="59" t="str">
        <f aca="false">IF(OR(V35="",U35=""),"",IF(V35&gt;=U35,"Green",IF(V35&gt;=U35*0.9,"Amber","Red")))</f>
        <v/>
      </c>
      <c r="X35" s="64" t="str">
        <f aca="false">IF($D35&lt;&gt;"Live","",IFERROR(HLOOKUP($E35,'SLA Tiers'!$C$4:$E$14,8,FALSE()),""))</f>
        <v/>
      </c>
      <c r="Y35" s="65"/>
      <c r="Z35" s="59" t="str">
        <f aca="false">IF(OR(Y35="",X35=""),"",IF(Y35&lt;=X35,"Green",IF(Y35&lt;=X35*1.1,"Amber","Red")))</f>
        <v/>
      </c>
      <c r="AA35" s="64" t="str">
        <f aca="false">IF($D35&lt;&gt;"Live","",IFERROR(HLOOKUP($E35,'SLA Tiers'!$C$4:$E$14,9,FALSE()),""))</f>
        <v/>
      </c>
      <c r="AB35" s="65"/>
      <c r="AC35" s="59" t="str">
        <f aca="false">IF(OR(AB35="",AA35=""),"",IF(AB35&lt;=AA35,"Green",IF(AB35&lt;=AA35*1.1,"Amber","Red")))</f>
        <v/>
      </c>
      <c r="AD35" s="60" t="str">
        <f aca="false">IF($D35&lt;&gt;"Live","",IFERROR(HLOOKUP($E35,'SLA Tiers'!$C$4:$E$14,10,FALSE()),""))</f>
        <v/>
      </c>
      <c r="AE35" s="61"/>
      <c r="AF35" s="59" t="str">
        <f aca="false">IF(OR(AE35="",AD35=""),"",IF(AE35&gt;=AD35,"Green",IF(AE35&gt;=AD35*0.9,"Amber","Red")))</f>
        <v/>
      </c>
      <c r="AG35" s="64" t="str">
        <f aca="false">IF($D35&lt;&gt;"Live","",IFERROR(HLOOKUP($E35,'SLA Tiers'!$C$4:$E$14,11,FALSE()),""))</f>
        <v/>
      </c>
      <c r="AH35" s="65"/>
      <c r="AI35" s="59" t="str">
        <f aca="false">IF(OR(AH35="",AG35=""),"",IF(AH35&gt;=AG35,"Green",IF(AH35&gt;=AG35*0.9,"Amber","Red")))</f>
        <v/>
      </c>
    </row>
    <row r="36" customFormat="false" ht="19.5" hidden="false" customHeight="true" outlineLevel="0" collapsed="false">
      <c r="B36" s="35" t="n">
        <f aca="false">IF('Dashboard Portfolio'!B35="","",'Dashboard Portfolio'!B35)</f>
        <v>30</v>
      </c>
      <c r="C36" s="37" t="str">
        <f aca="false">IF('Dashboard Portfolio'!C35="","",'Dashboard Portfolio'!C35)</f>
        <v>TBD B</v>
      </c>
      <c r="D36" s="35" t="str">
        <f aca="false">IF('Dashboard Portfolio'!E35="","",'Dashboard Portfolio'!E35)</f>
        <v>Not Started</v>
      </c>
      <c r="E36" s="59" t="str">
        <f aca="false">IF('Dashboard Portfolio'!F35="","",'Dashboard Portfolio'!F35)</f>
        <v>P3</v>
      </c>
      <c r="F36" s="60" t="str">
        <f aca="false">IF($D36&lt;&gt;"Live","",IFERROR(HLOOKUP($E36,'SLA Tiers'!$C$4:$E$14,2,FALSE()),""))</f>
        <v/>
      </c>
      <c r="G36" s="61"/>
      <c r="H36" s="59" t="str">
        <f aca="false">IF(OR(G36="",F36=""),"",IF(G36&gt;=F36,"Green",IF(G36&gt;=F36*0.9,"Amber","Red")))</f>
        <v/>
      </c>
      <c r="I36" s="60" t="str">
        <f aca="false">IF($D36&lt;&gt;"Live","",IFERROR(HLOOKUP($E36,'SLA Tiers'!$C$4:$E$14,3,FALSE()),""))</f>
        <v/>
      </c>
      <c r="J36" s="61"/>
      <c r="K36" s="59" t="str">
        <f aca="false">IF(OR(J36="",I36=""),"",IF(J36&gt;=I36,"Green",IF(J36&gt;=I36*0.9,"Amber","Red")))</f>
        <v/>
      </c>
      <c r="L36" s="62" t="str">
        <f aca="false">IF($D36&lt;&gt;"Live","",IFERROR(HLOOKUP($E36,'SLA Tiers'!$C$4:$E$14,4,FALSE()),""))</f>
        <v/>
      </c>
      <c r="M36" s="63"/>
      <c r="N36" s="59" t="str">
        <f aca="false">IF(OR(M36="",L36=""),"",IF(M36&lt;=L36,"Green",IF(M36&lt;=L36*1.1,"Amber","Red")))</f>
        <v/>
      </c>
      <c r="O36" s="64" t="str">
        <f aca="false">IF($D36&lt;&gt;"Live","",IFERROR(HLOOKUP($E36,'SLA Tiers'!$C$4:$E$14,5,FALSE()),""))</f>
        <v/>
      </c>
      <c r="P36" s="65"/>
      <c r="Q36" s="59" t="str">
        <f aca="false">IF(OR(P36="",O36=""),"",IF(P36&lt;=O36,"Green",IF(P36&lt;=O36*1.1,"Amber","Red")))</f>
        <v/>
      </c>
      <c r="R36" s="60" t="str">
        <f aca="false">IF($D36&lt;&gt;"Live","",IFERROR(HLOOKUP($E36,'SLA Tiers'!$C$4:$E$14,6,FALSE()),""))</f>
        <v/>
      </c>
      <c r="S36" s="61"/>
      <c r="T36" s="59" t="str">
        <f aca="false">IF(OR(S36="",R36=""),"",IF(S36&gt;=R36,"Green",IF(S36&gt;=R36*0.9,"Amber","Red")))</f>
        <v/>
      </c>
      <c r="U36" s="60" t="str">
        <f aca="false">IF($D36&lt;&gt;"Live","",IFERROR(HLOOKUP($E36,'SLA Tiers'!$C$4:$E$14,7,FALSE()),""))</f>
        <v/>
      </c>
      <c r="V36" s="61"/>
      <c r="W36" s="59" t="str">
        <f aca="false">IF(OR(V36="",U36=""),"",IF(V36&gt;=U36,"Green",IF(V36&gt;=U36*0.9,"Amber","Red")))</f>
        <v/>
      </c>
      <c r="X36" s="64" t="str">
        <f aca="false">IF($D36&lt;&gt;"Live","",IFERROR(HLOOKUP($E36,'SLA Tiers'!$C$4:$E$14,8,FALSE()),""))</f>
        <v/>
      </c>
      <c r="Y36" s="65"/>
      <c r="Z36" s="59" t="str">
        <f aca="false">IF(OR(Y36="",X36=""),"",IF(Y36&lt;=X36,"Green",IF(Y36&lt;=X36*1.1,"Amber","Red")))</f>
        <v/>
      </c>
      <c r="AA36" s="64" t="str">
        <f aca="false">IF($D36&lt;&gt;"Live","",IFERROR(HLOOKUP($E36,'SLA Tiers'!$C$4:$E$14,9,FALSE()),""))</f>
        <v/>
      </c>
      <c r="AB36" s="65"/>
      <c r="AC36" s="59" t="str">
        <f aca="false">IF(OR(AB36="",AA36=""),"",IF(AB36&lt;=AA36,"Green",IF(AB36&lt;=AA36*1.1,"Amber","Red")))</f>
        <v/>
      </c>
      <c r="AD36" s="60" t="str">
        <f aca="false">IF($D36&lt;&gt;"Live","",IFERROR(HLOOKUP($E36,'SLA Tiers'!$C$4:$E$14,10,FALSE()),""))</f>
        <v/>
      </c>
      <c r="AE36" s="61"/>
      <c r="AF36" s="59" t="str">
        <f aca="false">IF(OR(AE36="",AD36=""),"",IF(AE36&gt;=AD36,"Green",IF(AE36&gt;=AD36*0.9,"Amber","Red")))</f>
        <v/>
      </c>
      <c r="AG36" s="64" t="str">
        <f aca="false">IF($D36&lt;&gt;"Live","",IFERROR(HLOOKUP($E36,'SLA Tiers'!$C$4:$E$14,11,FALSE()),""))</f>
        <v/>
      </c>
      <c r="AH36" s="65"/>
      <c r="AI36" s="59" t="str">
        <f aca="false">IF(OR(AH36="",AG36=""),"",IF(AH36&gt;=AG36,"Green",IF(AH36&gt;=AG36*0.9,"Amber","Red")))</f>
        <v/>
      </c>
    </row>
    <row r="37" customFormat="false" ht="19.5" hidden="false" customHeight="true" outlineLevel="0" collapsed="false">
      <c r="B37" s="35" t="n">
        <f aca="false">IF('Dashboard Portfolio'!B36="","",'Dashboard Portfolio'!B36)</f>
        <v>31</v>
      </c>
      <c r="C37" s="37" t="str">
        <f aca="false">IF('Dashboard Portfolio'!C36="","",'Dashboard Portfolio'!C36)</f>
        <v>TBD C</v>
      </c>
      <c r="D37" s="35" t="str">
        <f aca="false">IF('Dashboard Portfolio'!E36="","",'Dashboard Portfolio'!E36)</f>
        <v>Not Started</v>
      </c>
      <c r="E37" s="59" t="str">
        <f aca="false">IF('Dashboard Portfolio'!F36="","",'Dashboard Portfolio'!F36)</f>
        <v>P3</v>
      </c>
      <c r="F37" s="60" t="str">
        <f aca="false">IF($D37&lt;&gt;"Live","",IFERROR(HLOOKUP($E37,'SLA Tiers'!$C$4:$E$14,2,FALSE()),""))</f>
        <v/>
      </c>
      <c r="G37" s="61"/>
      <c r="H37" s="59" t="str">
        <f aca="false">IF(OR(G37="",F37=""),"",IF(G37&gt;=F37,"Green",IF(G37&gt;=F37*0.9,"Amber","Red")))</f>
        <v/>
      </c>
      <c r="I37" s="60" t="str">
        <f aca="false">IF($D37&lt;&gt;"Live","",IFERROR(HLOOKUP($E37,'SLA Tiers'!$C$4:$E$14,3,FALSE()),""))</f>
        <v/>
      </c>
      <c r="J37" s="61"/>
      <c r="K37" s="59" t="str">
        <f aca="false">IF(OR(J37="",I37=""),"",IF(J37&gt;=I37,"Green",IF(J37&gt;=I37*0.9,"Amber","Red")))</f>
        <v/>
      </c>
      <c r="L37" s="62" t="str">
        <f aca="false">IF($D37&lt;&gt;"Live","",IFERROR(HLOOKUP($E37,'SLA Tiers'!$C$4:$E$14,4,FALSE()),""))</f>
        <v/>
      </c>
      <c r="M37" s="63"/>
      <c r="N37" s="59" t="str">
        <f aca="false">IF(OR(M37="",L37=""),"",IF(M37&lt;=L37,"Green",IF(M37&lt;=L37*1.1,"Amber","Red")))</f>
        <v/>
      </c>
      <c r="O37" s="64" t="str">
        <f aca="false">IF($D37&lt;&gt;"Live","",IFERROR(HLOOKUP($E37,'SLA Tiers'!$C$4:$E$14,5,FALSE()),""))</f>
        <v/>
      </c>
      <c r="P37" s="65"/>
      <c r="Q37" s="59" t="str">
        <f aca="false">IF(OR(P37="",O37=""),"",IF(P37&lt;=O37,"Green",IF(P37&lt;=O37*1.1,"Amber","Red")))</f>
        <v/>
      </c>
      <c r="R37" s="60" t="str">
        <f aca="false">IF($D37&lt;&gt;"Live","",IFERROR(HLOOKUP($E37,'SLA Tiers'!$C$4:$E$14,6,FALSE()),""))</f>
        <v/>
      </c>
      <c r="S37" s="61"/>
      <c r="T37" s="59" t="str">
        <f aca="false">IF(OR(S37="",R37=""),"",IF(S37&gt;=R37,"Green",IF(S37&gt;=R37*0.9,"Amber","Red")))</f>
        <v/>
      </c>
      <c r="U37" s="60" t="str">
        <f aca="false">IF($D37&lt;&gt;"Live","",IFERROR(HLOOKUP($E37,'SLA Tiers'!$C$4:$E$14,7,FALSE()),""))</f>
        <v/>
      </c>
      <c r="V37" s="61"/>
      <c r="W37" s="59" t="str">
        <f aca="false">IF(OR(V37="",U37=""),"",IF(V37&gt;=U37,"Green",IF(V37&gt;=U37*0.9,"Amber","Red")))</f>
        <v/>
      </c>
      <c r="X37" s="64" t="str">
        <f aca="false">IF($D37&lt;&gt;"Live","",IFERROR(HLOOKUP($E37,'SLA Tiers'!$C$4:$E$14,8,FALSE()),""))</f>
        <v/>
      </c>
      <c r="Y37" s="65"/>
      <c r="Z37" s="59" t="str">
        <f aca="false">IF(OR(Y37="",X37=""),"",IF(Y37&lt;=X37,"Green",IF(Y37&lt;=X37*1.1,"Amber","Red")))</f>
        <v/>
      </c>
      <c r="AA37" s="64" t="str">
        <f aca="false">IF($D37&lt;&gt;"Live","",IFERROR(HLOOKUP($E37,'SLA Tiers'!$C$4:$E$14,9,FALSE()),""))</f>
        <v/>
      </c>
      <c r="AB37" s="65"/>
      <c r="AC37" s="59" t="str">
        <f aca="false">IF(OR(AB37="",AA37=""),"",IF(AB37&lt;=AA37,"Green",IF(AB37&lt;=AA37*1.1,"Amber","Red")))</f>
        <v/>
      </c>
      <c r="AD37" s="60" t="str">
        <f aca="false">IF($D37&lt;&gt;"Live","",IFERROR(HLOOKUP($E37,'SLA Tiers'!$C$4:$E$14,10,FALSE()),""))</f>
        <v/>
      </c>
      <c r="AE37" s="61"/>
      <c r="AF37" s="59" t="str">
        <f aca="false">IF(OR(AE37="",AD37=""),"",IF(AE37&gt;=AD37,"Green",IF(AE37&gt;=AD37*0.9,"Amber","Red")))</f>
        <v/>
      </c>
      <c r="AG37" s="64" t="str">
        <f aca="false">IF($D37&lt;&gt;"Live","",IFERROR(HLOOKUP($E37,'SLA Tiers'!$C$4:$E$14,11,FALSE()),""))</f>
        <v/>
      </c>
      <c r="AH37" s="65"/>
      <c r="AI37" s="59" t="str">
        <f aca="false">IF(OR(AH37="",AG37=""),"",IF(AH37&gt;=AG37,"Green",IF(AH37&gt;=AG37*0.9,"Amber","Red")))</f>
        <v/>
      </c>
    </row>
  </sheetData>
  <autoFilter ref="B6:AI37"/>
  <mergeCells count="15">
    <mergeCell ref="B3:AI3"/>
    <mergeCell ref="B5:B6"/>
    <mergeCell ref="C5:C6"/>
    <mergeCell ref="D5:D6"/>
    <mergeCell ref="E5:E6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</mergeCells>
  <conditionalFormatting sqref="H7:H37">
    <cfRule type="expression" priority="2" aboveAverage="0" equalAverage="0" bottom="0" percent="0" rank="0" text="" dxfId="10">
      <formula>$H7="Green"</formula>
    </cfRule>
    <cfRule type="expression" priority="3" aboveAverage="0" equalAverage="0" bottom="0" percent="0" rank="0" text="" dxfId="11">
      <formula>$H7="Amber"</formula>
    </cfRule>
    <cfRule type="expression" priority="4" aboveAverage="0" equalAverage="0" bottom="0" percent="0" rank="0" text="" dxfId="12">
      <formula>$H7="Red"</formula>
    </cfRule>
  </conditionalFormatting>
  <conditionalFormatting sqref="K7:K37">
    <cfRule type="expression" priority="5" aboveAverage="0" equalAverage="0" bottom="0" percent="0" rank="0" text="" dxfId="10">
      <formula>$K7="Green"</formula>
    </cfRule>
    <cfRule type="expression" priority="6" aboveAverage="0" equalAverage="0" bottom="0" percent="0" rank="0" text="" dxfId="11">
      <formula>$K7="Amber"</formula>
    </cfRule>
    <cfRule type="expression" priority="7" aboveAverage="0" equalAverage="0" bottom="0" percent="0" rank="0" text="" dxfId="12">
      <formula>$K7="Red"</formula>
    </cfRule>
  </conditionalFormatting>
  <conditionalFormatting sqref="N7:N37">
    <cfRule type="expression" priority="8" aboveAverage="0" equalAverage="0" bottom="0" percent="0" rank="0" text="" dxfId="10">
      <formula>$N7="Green"</formula>
    </cfRule>
    <cfRule type="expression" priority="9" aboveAverage="0" equalAverage="0" bottom="0" percent="0" rank="0" text="" dxfId="11">
      <formula>$N7="Amber"</formula>
    </cfRule>
    <cfRule type="expression" priority="10" aboveAverage="0" equalAverage="0" bottom="0" percent="0" rank="0" text="" dxfId="12">
      <formula>$N7="Red"</formula>
    </cfRule>
  </conditionalFormatting>
  <conditionalFormatting sqref="Q7:Q37">
    <cfRule type="expression" priority="11" aboveAverage="0" equalAverage="0" bottom="0" percent="0" rank="0" text="" dxfId="10">
      <formula>$Q7="Green"</formula>
    </cfRule>
    <cfRule type="expression" priority="12" aboveAverage="0" equalAverage="0" bottom="0" percent="0" rank="0" text="" dxfId="11">
      <formula>$Q7="Amber"</formula>
    </cfRule>
    <cfRule type="expression" priority="13" aboveAverage="0" equalAverage="0" bottom="0" percent="0" rank="0" text="" dxfId="12">
      <formula>$Q7="Red"</formula>
    </cfRule>
  </conditionalFormatting>
  <conditionalFormatting sqref="T7:T37">
    <cfRule type="expression" priority="14" aboveAverage="0" equalAverage="0" bottom="0" percent="0" rank="0" text="" dxfId="10">
      <formula>$T7="Green"</formula>
    </cfRule>
    <cfRule type="expression" priority="15" aboveAverage="0" equalAverage="0" bottom="0" percent="0" rank="0" text="" dxfId="11">
      <formula>$T7="Amber"</formula>
    </cfRule>
    <cfRule type="expression" priority="16" aboveAverage="0" equalAverage="0" bottom="0" percent="0" rank="0" text="" dxfId="12">
      <formula>$T7="Red"</formula>
    </cfRule>
  </conditionalFormatting>
  <conditionalFormatting sqref="W7:W37">
    <cfRule type="expression" priority="17" aboveAverage="0" equalAverage="0" bottom="0" percent="0" rank="0" text="" dxfId="10">
      <formula>$W7="Green"</formula>
    </cfRule>
    <cfRule type="expression" priority="18" aboveAverage="0" equalAverage="0" bottom="0" percent="0" rank="0" text="" dxfId="11">
      <formula>$W7="Amber"</formula>
    </cfRule>
    <cfRule type="expression" priority="19" aboveAverage="0" equalAverage="0" bottom="0" percent="0" rank="0" text="" dxfId="12">
      <formula>$W7="Red"</formula>
    </cfRule>
  </conditionalFormatting>
  <conditionalFormatting sqref="Z7:Z37">
    <cfRule type="expression" priority="20" aboveAverage="0" equalAverage="0" bottom="0" percent="0" rank="0" text="" dxfId="10">
      <formula>$Z7="Green"</formula>
    </cfRule>
    <cfRule type="expression" priority="21" aboveAverage="0" equalAverage="0" bottom="0" percent="0" rank="0" text="" dxfId="11">
      <formula>$Z7="Amber"</formula>
    </cfRule>
    <cfRule type="expression" priority="22" aboveAverage="0" equalAverage="0" bottom="0" percent="0" rank="0" text="" dxfId="12">
      <formula>$Z7="Red"</formula>
    </cfRule>
  </conditionalFormatting>
  <conditionalFormatting sqref="AC7:AC37">
    <cfRule type="expression" priority="23" aboveAverage="0" equalAverage="0" bottom="0" percent="0" rank="0" text="" dxfId="10">
      <formula>$AC7="Green"</formula>
    </cfRule>
    <cfRule type="expression" priority="24" aboveAverage="0" equalAverage="0" bottom="0" percent="0" rank="0" text="" dxfId="11">
      <formula>$AC7="Amber"</formula>
    </cfRule>
    <cfRule type="expression" priority="25" aboveAverage="0" equalAverage="0" bottom="0" percent="0" rank="0" text="" dxfId="12">
      <formula>$AC7="Red"</formula>
    </cfRule>
  </conditionalFormatting>
  <conditionalFormatting sqref="AF7:AF37">
    <cfRule type="expression" priority="26" aboveAverage="0" equalAverage="0" bottom="0" percent="0" rank="0" text="" dxfId="10">
      <formula>$AF7="Green"</formula>
    </cfRule>
    <cfRule type="expression" priority="27" aboveAverage="0" equalAverage="0" bottom="0" percent="0" rank="0" text="" dxfId="11">
      <formula>$AF7="Amber"</formula>
    </cfRule>
    <cfRule type="expression" priority="28" aboveAverage="0" equalAverage="0" bottom="0" percent="0" rank="0" text="" dxfId="12">
      <formula>$AF7="Red"</formula>
    </cfRule>
  </conditionalFormatting>
  <conditionalFormatting sqref="AI7:AI37">
    <cfRule type="expression" priority="29" aboveAverage="0" equalAverage="0" bottom="0" percent="0" rank="0" text="" dxfId="10">
      <formula>$AI7="Green"</formula>
    </cfRule>
    <cfRule type="expression" priority="30" aboveAverage="0" equalAverage="0" bottom="0" percent="0" rank="0" text="" dxfId="11">
      <formula>$AI7="Amber"</formula>
    </cfRule>
    <cfRule type="expression" priority="31" aboveAverage="0" equalAverage="0" bottom="0" percent="0" rank="0" text="" dxfId="12">
      <formula>$AI7="Red"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"/>
    <col collapsed="false" customWidth="true" hidden="false" outlineLevel="0" max="3" min="3" style="1" width="32"/>
    <col collapsed="false" customWidth="true" hidden="false" outlineLevel="0" max="4" min="4" style="1" width="11"/>
    <col collapsed="false" customWidth="true" hidden="false" outlineLevel="0" max="18" min="5" style="1" width="9"/>
    <col collapsed="false" customWidth="true" hidden="false" outlineLevel="0" max="19" min="19" style="1" width="18"/>
    <col collapsed="false" customWidth="true" hidden="false" outlineLevel="0" max="20" min="20" style="1" width="11"/>
  </cols>
  <sheetData>
    <row r="2" customFormat="false" ht="27.75" hidden="false" customHeight="true" outlineLevel="0" collapsed="false">
      <c r="B2" s="33" t="s">
        <v>258</v>
      </c>
    </row>
    <row r="3" customFormat="false" ht="30" hidden="false" customHeight="true" outlineLevel="0" collapsed="false">
      <c r="B3" s="34" t="s">
        <v>259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5" customFormat="false" ht="25.5" hidden="false" customHeight="true" outlineLevel="0" collapsed="false">
      <c r="B5" s="9"/>
      <c r="C5" s="9" t="s">
        <v>260</v>
      </c>
      <c r="D5" s="9" t="s">
        <v>103</v>
      </c>
      <c r="E5" s="66" t="s">
        <v>261</v>
      </c>
      <c r="F5" s="66"/>
      <c r="G5" s="66" t="s">
        <v>262</v>
      </c>
      <c r="H5" s="66"/>
      <c r="I5" s="66" t="s">
        <v>263</v>
      </c>
      <c r="J5" s="66"/>
      <c r="K5" s="66" t="s">
        <v>264</v>
      </c>
      <c r="L5" s="66"/>
      <c r="M5" s="66" t="s">
        <v>265</v>
      </c>
      <c r="N5" s="66"/>
      <c r="O5" s="66" t="s">
        <v>266</v>
      </c>
      <c r="P5" s="66"/>
      <c r="Q5" s="66" t="s">
        <v>267</v>
      </c>
      <c r="R5" s="66"/>
      <c r="S5" s="9" t="s">
        <v>104</v>
      </c>
      <c r="T5" s="9" t="s">
        <v>268</v>
      </c>
    </row>
    <row r="6" customFormat="false" ht="19.5" hidden="false" customHeight="true" outlineLevel="0" collapsed="false">
      <c r="B6" s="67"/>
      <c r="C6" s="67"/>
      <c r="D6" s="67"/>
      <c r="E6" s="58" t="s">
        <v>269</v>
      </c>
      <c r="F6" s="58" t="s">
        <v>48</v>
      </c>
      <c r="G6" s="58" t="s">
        <v>269</v>
      </c>
      <c r="H6" s="58" t="s">
        <v>48</v>
      </c>
      <c r="I6" s="58" t="s">
        <v>269</v>
      </c>
      <c r="J6" s="58" t="s">
        <v>48</v>
      </c>
      <c r="K6" s="58" t="s">
        <v>269</v>
      </c>
      <c r="L6" s="58" t="s">
        <v>48</v>
      </c>
      <c r="M6" s="58" t="s">
        <v>269</v>
      </c>
      <c r="N6" s="58" t="s">
        <v>48</v>
      </c>
      <c r="O6" s="58" t="s">
        <v>269</v>
      </c>
      <c r="P6" s="58" t="s">
        <v>48</v>
      </c>
      <c r="Q6" s="58" t="s">
        <v>269</v>
      </c>
      <c r="R6" s="58" t="s">
        <v>48</v>
      </c>
      <c r="S6" s="67"/>
      <c r="T6" s="67"/>
    </row>
    <row r="7" customFormat="false" ht="21.75" hidden="false" customHeight="true" outlineLevel="0" collapsed="false">
      <c r="B7" s="11" t="n">
        <v>1</v>
      </c>
      <c r="C7" s="12" t="s">
        <v>190</v>
      </c>
      <c r="D7" s="11" t="s">
        <v>174</v>
      </c>
      <c r="E7" s="68" t="n">
        <v>46037</v>
      </c>
      <c r="F7" s="68" t="n">
        <v>46042</v>
      </c>
      <c r="G7" s="68" t="n">
        <v>46054</v>
      </c>
      <c r="H7" s="68" t="n">
        <v>46058</v>
      </c>
      <c r="I7" s="68" t="n">
        <v>46073</v>
      </c>
      <c r="J7" s="68" t="n">
        <v>46078</v>
      </c>
      <c r="K7" s="68" t="n">
        <v>46096</v>
      </c>
      <c r="L7" s="68" t="n">
        <v>46101</v>
      </c>
      <c r="M7" s="68" t="n">
        <v>46117</v>
      </c>
      <c r="N7" s="68" t="n">
        <v>46122</v>
      </c>
      <c r="O7" s="68" t="n">
        <v>46137</v>
      </c>
      <c r="P7" s="68" t="n">
        <v>46143</v>
      </c>
      <c r="Q7" s="68" t="n">
        <v>46157</v>
      </c>
      <c r="R7" s="68"/>
      <c r="S7" s="59" t="str">
        <f aca="false">IF(COUNTA(F7,H7,J7,L7,N7,P7,R7)=0,"Not Started",IF(R7&lt;&gt;"","In Production",IF(P7&lt;&gt;"","UAT Complete",IF(N7&lt;&gt;"","Visual Complete",IF(L7&lt;&gt;"","Pipeline Complete",IF(J7&lt;&gt;"","Data Model Complete",IF(H7&lt;&gt;"","Design Approved",IF(F7&lt;&gt;"","BRD Complete","Not Started"))))))))</f>
        <v>UAT Complete</v>
      </c>
      <c r="T7" s="69" t="n">
        <f aca="false">COUNTA(F7,H7,J7,L7,N7,P7,R7)/7</f>
        <v>0.857142857142857</v>
      </c>
    </row>
    <row r="8" customFormat="false" ht="21.75" hidden="false" customHeight="true" outlineLevel="0" collapsed="false">
      <c r="B8" s="11" t="n">
        <v>2</v>
      </c>
      <c r="C8" s="12" t="s">
        <v>193</v>
      </c>
      <c r="D8" s="11" t="s">
        <v>174</v>
      </c>
      <c r="E8" s="68" t="n">
        <v>46052</v>
      </c>
      <c r="F8" s="68" t="n">
        <v>46056</v>
      </c>
      <c r="G8" s="68" t="n">
        <v>46068</v>
      </c>
      <c r="H8" s="68" t="n">
        <v>46073</v>
      </c>
      <c r="I8" s="68" t="n">
        <v>46086</v>
      </c>
      <c r="J8" s="68" t="n">
        <v>46091</v>
      </c>
      <c r="K8" s="68" t="n">
        <v>46106</v>
      </c>
      <c r="L8" s="68" t="n">
        <v>46114</v>
      </c>
      <c r="M8" s="68" t="n">
        <v>46132</v>
      </c>
      <c r="N8" s="68" t="n">
        <v>46147</v>
      </c>
      <c r="O8" s="68" t="n">
        <v>46157</v>
      </c>
      <c r="P8" s="68"/>
      <c r="Q8" s="68" t="n">
        <v>46174</v>
      </c>
      <c r="R8" s="68"/>
      <c r="S8" s="59" t="str">
        <f aca="false">IF(COUNTA(F8,H8,J8,L8,N8,P8,R8)=0,"Not Started",IF(R8&lt;&gt;"","In Production",IF(P8&lt;&gt;"","UAT Complete",IF(N8&lt;&gt;"","Visual Complete",IF(L8&lt;&gt;"","Pipeline Complete",IF(J8&lt;&gt;"","Data Model Complete",IF(H8&lt;&gt;"","Design Approved",IF(F8&lt;&gt;"","BRD Complete","Not Started"))))))))</f>
        <v>Visual Complete</v>
      </c>
      <c r="T8" s="69" t="n">
        <f aca="false">COUNTA(F8,H8,J8,L8,N8,P8,R8)/7</f>
        <v>0.714285714285714</v>
      </c>
    </row>
    <row r="9" customFormat="false" ht="21.75" hidden="false" customHeight="true" outlineLevel="0" collapsed="false">
      <c r="B9" s="11" t="n">
        <v>3</v>
      </c>
      <c r="C9" s="12" t="s">
        <v>194</v>
      </c>
      <c r="D9" s="11" t="s">
        <v>174</v>
      </c>
      <c r="E9" s="68" t="n">
        <v>46054</v>
      </c>
      <c r="F9" s="68" t="n">
        <v>46058</v>
      </c>
      <c r="G9" s="68" t="n">
        <v>46073</v>
      </c>
      <c r="H9" s="68" t="n">
        <v>46081</v>
      </c>
      <c r="I9" s="68" t="n">
        <v>46096</v>
      </c>
      <c r="J9" s="68" t="n">
        <v>46101</v>
      </c>
      <c r="K9" s="68" t="n">
        <v>46122</v>
      </c>
      <c r="L9" s="68" t="n">
        <v>46145</v>
      </c>
      <c r="M9" s="68" t="n">
        <v>46142</v>
      </c>
      <c r="N9" s="68"/>
      <c r="O9" s="68" t="n">
        <v>46162</v>
      </c>
      <c r="P9" s="68"/>
      <c r="Q9" s="68" t="n">
        <v>46178</v>
      </c>
      <c r="R9" s="68"/>
      <c r="S9" s="59" t="str">
        <f aca="false">IF(COUNTA(F9,H9,J9,L9,N9,P9,R9)=0,"Not Started",IF(R9&lt;&gt;"","In Production",IF(P9&lt;&gt;"","UAT Complete",IF(N9&lt;&gt;"","Visual Complete",IF(L9&lt;&gt;"","Pipeline Complete",IF(J9&lt;&gt;"","Data Model Complete",IF(H9&lt;&gt;"","Design Approved",IF(F9&lt;&gt;"","BRD Complete","Not Started"))))))))</f>
        <v>Pipeline Complete</v>
      </c>
      <c r="T9" s="69" t="n">
        <f aca="false">COUNTA(F9,H9,J9,L9,N9,P9,R9)/7</f>
        <v>0.571428571428571</v>
      </c>
    </row>
    <row r="10" customFormat="false" ht="21.75" hidden="false" customHeight="true" outlineLevel="0" collapsed="false">
      <c r="B10" s="11" t="n">
        <v>4</v>
      </c>
      <c r="C10" s="12" t="s">
        <v>196</v>
      </c>
      <c r="D10" s="11" t="s">
        <v>174</v>
      </c>
      <c r="E10" s="68" t="n">
        <v>46068</v>
      </c>
      <c r="F10" s="68" t="n">
        <v>46073</v>
      </c>
      <c r="G10" s="68" t="n">
        <v>46086</v>
      </c>
      <c r="H10" s="68" t="n">
        <v>46093</v>
      </c>
      <c r="I10" s="68" t="n">
        <v>46113</v>
      </c>
      <c r="J10" s="68" t="n">
        <v>46137</v>
      </c>
      <c r="K10" s="68" t="n">
        <v>46137</v>
      </c>
      <c r="L10" s="68"/>
      <c r="M10" s="68" t="n">
        <v>46157</v>
      </c>
      <c r="N10" s="68"/>
      <c r="O10" s="68" t="n">
        <v>46178</v>
      </c>
      <c r="P10" s="68"/>
      <c r="Q10" s="68" t="n">
        <v>46193</v>
      </c>
      <c r="R10" s="68"/>
      <c r="S10" s="59" t="str">
        <f aca="false">IF(COUNTA(F10,H10,J10,L10,N10,P10,R10)=0,"Not Started",IF(R10&lt;&gt;"","In Production",IF(P10&lt;&gt;"","UAT Complete",IF(N10&lt;&gt;"","Visual Complete",IF(L10&lt;&gt;"","Pipeline Complete",IF(J10&lt;&gt;"","Data Model Complete",IF(H10&lt;&gt;"","Design Approved",IF(F10&lt;&gt;"","BRD Complete","Not Started"))))))))</f>
        <v>Data Model Complete</v>
      </c>
      <c r="T10" s="69" t="n">
        <f aca="false">COUNTA(F10,H10,J10,L10,N10,P10,R10)/7</f>
        <v>0.428571428571429</v>
      </c>
    </row>
    <row r="11" customFormat="false" ht="21.75" hidden="false" customHeight="true" outlineLevel="0" collapsed="false">
      <c r="B11" s="11" t="n">
        <v>5</v>
      </c>
      <c r="C11" s="12" t="s">
        <v>198</v>
      </c>
      <c r="D11" s="11" t="s">
        <v>187</v>
      </c>
      <c r="E11" s="68" t="n">
        <v>46078</v>
      </c>
      <c r="F11" s="68" t="n">
        <v>46082</v>
      </c>
      <c r="G11" s="68" t="n">
        <v>46101</v>
      </c>
      <c r="H11" s="68" t="n">
        <v>46117</v>
      </c>
      <c r="I11" s="68" t="n">
        <v>46122</v>
      </c>
      <c r="J11" s="68"/>
      <c r="K11" s="68" t="n">
        <v>46143</v>
      </c>
      <c r="L11" s="68"/>
      <c r="M11" s="68" t="n">
        <v>46162</v>
      </c>
      <c r="N11" s="68"/>
      <c r="O11" s="68" t="n">
        <v>46183</v>
      </c>
      <c r="P11" s="68"/>
      <c r="Q11" s="68" t="n">
        <v>46198</v>
      </c>
      <c r="R11" s="68"/>
      <c r="S11" s="59" t="str">
        <f aca="false">IF(COUNTA(F11,H11,J11,L11,N11,P11,R11)=0,"Not Started",IF(R11&lt;&gt;"","In Production",IF(P11&lt;&gt;"","UAT Complete",IF(N11&lt;&gt;"","Visual Complete",IF(L11&lt;&gt;"","Pipeline Complete",IF(J11&lt;&gt;"","Data Model Complete",IF(H11&lt;&gt;"","Design Approved",IF(F11&lt;&gt;"","BRD Complete","Not Started"))))))))</f>
        <v>Design Approved</v>
      </c>
      <c r="T11" s="69" t="n">
        <f aca="false">COUNTA(F11,H11,J11,L11,N11,P11,R11)/7</f>
        <v>0.285714285714286</v>
      </c>
    </row>
    <row r="12" customFormat="false" ht="21.75" hidden="false" customHeight="true" outlineLevel="0" collapsed="false">
      <c r="B12" s="11" t="n">
        <v>6</v>
      </c>
      <c r="C12" s="12" t="s">
        <v>201</v>
      </c>
      <c r="D12" s="11" t="s">
        <v>187</v>
      </c>
      <c r="E12" s="68" t="n">
        <v>46082</v>
      </c>
      <c r="F12" s="68" t="n">
        <v>46091</v>
      </c>
      <c r="G12" s="68" t="n">
        <v>46113</v>
      </c>
      <c r="H12" s="68" t="n">
        <v>46127</v>
      </c>
      <c r="I12" s="68" t="n">
        <v>46137</v>
      </c>
      <c r="J12" s="68"/>
      <c r="K12" s="68" t="n">
        <v>46157</v>
      </c>
      <c r="L12" s="68"/>
      <c r="M12" s="68" t="n">
        <v>46178</v>
      </c>
      <c r="N12" s="68"/>
      <c r="O12" s="68" t="n">
        <v>46193</v>
      </c>
      <c r="P12" s="68"/>
      <c r="Q12" s="68" t="n">
        <v>46208</v>
      </c>
      <c r="R12" s="68"/>
      <c r="S12" s="59" t="str">
        <f aca="false">IF(COUNTA(F12,H12,J12,L12,N12,P12,R12)=0,"Not Started",IF(R12&lt;&gt;"","In Production",IF(P12&lt;&gt;"","UAT Complete",IF(N12&lt;&gt;"","Visual Complete",IF(L12&lt;&gt;"","Pipeline Complete",IF(J12&lt;&gt;"","Data Model Complete",IF(H12&lt;&gt;"","Design Approved",IF(F12&lt;&gt;"","BRD Complete","Not Started"))))))))</f>
        <v>Design Approved</v>
      </c>
      <c r="T12" s="69" t="n">
        <f aca="false">COUNTA(F12,H12,J12,L12,N12,P12,R12)/7</f>
        <v>0.285714285714286</v>
      </c>
    </row>
    <row r="13" customFormat="false" ht="21.75" hidden="false" customHeight="true" outlineLevel="0" collapsed="false">
      <c r="B13" s="11" t="n">
        <v>7</v>
      </c>
      <c r="C13" s="12" t="s">
        <v>204</v>
      </c>
      <c r="D13" s="11" t="s">
        <v>187</v>
      </c>
      <c r="E13" s="68" t="n">
        <v>46096</v>
      </c>
      <c r="F13" s="68" t="n">
        <v>46132</v>
      </c>
      <c r="G13" s="68" t="n">
        <v>46117</v>
      </c>
      <c r="H13" s="68"/>
      <c r="I13" s="68" t="n">
        <v>46137</v>
      </c>
      <c r="J13" s="68"/>
      <c r="K13" s="68" t="n">
        <v>46162</v>
      </c>
      <c r="L13" s="68"/>
      <c r="M13" s="68" t="n">
        <v>46183</v>
      </c>
      <c r="N13" s="68"/>
      <c r="O13" s="68" t="n">
        <v>46203</v>
      </c>
      <c r="P13" s="68"/>
      <c r="Q13" s="68" t="n">
        <v>46218</v>
      </c>
      <c r="R13" s="68"/>
      <c r="S13" s="59" t="str">
        <f aca="false">IF(COUNTA(F13,H13,J13,L13,N13,P13,R13)=0,"Not Started",IF(R13&lt;&gt;"","In Production",IF(P13&lt;&gt;"","UAT Complete",IF(N13&lt;&gt;"","Visual Complete",IF(L13&lt;&gt;"","Pipeline Complete",IF(J13&lt;&gt;"","Data Model Complete",IF(H13&lt;&gt;"","Design Approved",IF(F13&lt;&gt;"","BRD Complete","Not Started"))))))))</f>
        <v>BRD Complete</v>
      </c>
      <c r="T13" s="69" t="n">
        <f aca="false">COUNTA(F13,H13,J13,L13,N13,P13,R13)/7</f>
        <v>0.142857142857143</v>
      </c>
    </row>
    <row r="14" customFormat="false" ht="21.75" hidden="false" customHeight="true" outlineLevel="0" collapsed="false">
      <c r="B14" s="11" t="n">
        <v>8</v>
      </c>
      <c r="C14" s="12" t="s">
        <v>205</v>
      </c>
      <c r="D14" s="11" t="s">
        <v>187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59" t="str">
        <f aca="false">IF(COUNTA(F14,H14,J14,L14,N14,P14,R14)=0,"Not Started",IF(R14&lt;&gt;"","In Production",IF(P14&lt;&gt;"","UAT Complete",IF(N14&lt;&gt;"","Visual Complete",IF(L14&lt;&gt;"","Pipeline Complete",IF(J14&lt;&gt;"","Data Model Complete",IF(H14&lt;&gt;"","Design Approved",IF(F14&lt;&gt;"","BRD Complete","Not Started"))))))))</f>
        <v>Not Started</v>
      </c>
      <c r="T14" s="69" t="n">
        <f aca="false">COUNTA(F14,H14,J14,L14,N14,P14,R14)/7</f>
        <v>0</v>
      </c>
    </row>
    <row r="15" customFormat="false" ht="21.75" hidden="false" customHeight="true" outlineLevel="0" collapsed="false">
      <c r="B15" s="11" t="n">
        <v>9</v>
      </c>
      <c r="C15" s="12" t="s">
        <v>207</v>
      </c>
      <c r="D15" s="11" t="s">
        <v>179</v>
      </c>
      <c r="E15" s="68" t="n">
        <v>46063</v>
      </c>
      <c r="F15" s="68" t="n">
        <v>46068</v>
      </c>
      <c r="G15" s="68" t="n">
        <v>46082</v>
      </c>
      <c r="H15" s="68" t="n">
        <v>46089</v>
      </c>
      <c r="I15" s="68" t="n">
        <v>46106</v>
      </c>
      <c r="J15" s="68" t="n">
        <v>46114</v>
      </c>
      <c r="K15" s="68" t="n">
        <v>46132</v>
      </c>
      <c r="L15" s="68" t="n">
        <v>46147</v>
      </c>
      <c r="M15" s="68" t="n">
        <v>46152</v>
      </c>
      <c r="N15" s="68"/>
      <c r="O15" s="68" t="n">
        <v>46172</v>
      </c>
      <c r="P15" s="68"/>
      <c r="Q15" s="68" t="n">
        <v>46188</v>
      </c>
      <c r="R15" s="68"/>
      <c r="S15" s="59" t="str">
        <f aca="false">IF(COUNTA(F15,H15,J15,L15,N15,P15,R15)=0,"Not Started",IF(R15&lt;&gt;"","In Production",IF(P15&lt;&gt;"","UAT Complete",IF(N15&lt;&gt;"","Visual Complete",IF(L15&lt;&gt;"","Pipeline Complete",IF(J15&lt;&gt;"","Data Model Complete",IF(H15&lt;&gt;"","Design Approved",IF(F15&lt;&gt;"","BRD Complete","Not Started"))))))))</f>
        <v>Pipeline Complete</v>
      </c>
      <c r="T15" s="69" t="n">
        <f aca="false">COUNTA(F15,H15,J15,L15,N15,P15,R15)/7</f>
        <v>0.571428571428571</v>
      </c>
    </row>
    <row r="16" customFormat="false" ht="21.75" hidden="false" customHeight="true" outlineLevel="0" collapsed="false">
      <c r="B16" s="11" t="n">
        <v>10</v>
      </c>
      <c r="C16" s="12" t="s">
        <v>208</v>
      </c>
      <c r="D16" s="11" t="s">
        <v>179</v>
      </c>
      <c r="E16" s="68" t="n">
        <v>46073</v>
      </c>
      <c r="F16" s="68" t="n">
        <v>46078</v>
      </c>
      <c r="G16" s="68" t="n">
        <v>46091</v>
      </c>
      <c r="H16" s="68" t="n">
        <v>46099</v>
      </c>
      <c r="I16" s="68" t="n">
        <v>46113</v>
      </c>
      <c r="J16" s="68" t="n">
        <v>46120</v>
      </c>
      <c r="K16" s="68" t="n">
        <v>46137</v>
      </c>
      <c r="L16" s="68" t="n">
        <v>46142</v>
      </c>
      <c r="M16" s="68" t="n">
        <v>46157</v>
      </c>
      <c r="N16" s="68"/>
      <c r="O16" s="68" t="n">
        <v>46174</v>
      </c>
      <c r="P16" s="68"/>
      <c r="Q16" s="68" t="n">
        <v>46188</v>
      </c>
      <c r="R16" s="68"/>
      <c r="S16" s="59" t="str">
        <f aca="false">IF(COUNTA(F16,H16,J16,L16,N16,P16,R16)=0,"Not Started",IF(R16&lt;&gt;"","In Production",IF(P16&lt;&gt;"","UAT Complete",IF(N16&lt;&gt;"","Visual Complete",IF(L16&lt;&gt;"","Pipeline Complete",IF(J16&lt;&gt;"","Data Model Complete",IF(H16&lt;&gt;"","Design Approved",IF(F16&lt;&gt;"","BRD Complete","Not Started"))))))))</f>
        <v>Pipeline Complete</v>
      </c>
      <c r="T16" s="69" t="n">
        <f aca="false">COUNTA(F16,H16,J16,L16,N16,P16,R16)/7</f>
        <v>0.571428571428571</v>
      </c>
    </row>
    <row r="17" customFormat="false" ht="21.75" hidden="false" customHeight="true" outlineLevel="0" collapsed="false">
      <c r="B17" s="11" t="n">
        <v>11</v>
      </c>
      <c r="C17" s="12" t="s">
        <v>209</v>
      </c>
      <c r="D17" s="11" t="s">
        <v>162</v>
      </c>
      <c r="E17" s="68" t="n">
        <v>46086</v>
      </c>
      <c r="F17" s="68" t="n">
        <v>46093</v>
      </c>
      <c r="G17" s="68" t="n">
        <v>46106</v>
      </c>
      <c r="H17" s="68" t="n">
        <v>46120</v>
      </c>
      <c r="I17" s="68" t="n">
        <v>46132</v>
      </c>
      <c r="J17" s="68"/>
      <c r="K17" s="68" t="n">
        <v>46152</v>
      </c>
      <c r="L17" s="68"/>
      <c r="M17" s="68" t="n">
        <v>46172</v>
      </c>
      <c r="N17" s="68"/>
      <c r="O17" s="68" t="n">
        <v>46193</v>
      </c>
      <c r="P17" s="68"/>
      <c r="Q17" s="68" t="n">
        <v>46208</v>
      </c>
      <c r="R17" s="68"/>
      <c r="S17" s="59" t="str">
        <f aca="false">IF(COUNTA(F17,H17,J17,L17,N17,P17,R17)=0,"Not Started",IF(R17&lt;&gt;"","In Production",IF(P17&lt;&gt;"","UAT Complete",IF(N17&lt;&gt;"","Visual Complete",IF(L17&lt;&gt;"","Pipeline Complete",IF(J17&lt;&gt;"","Data Model Complete",IF(H17&lt;&gt;"","Design Approved",IF(F17&lt;&gt;"","BRD Complete","Not Started"))))))))</f>
        <v>Design Approved</v>
      </c>
      <c r="T17" s="69" t="n">
        <f aca="false">COUNTA(F17,H17,J17,L17,N17,P17,R17)/7</f>
        <v>0.285714285714286</v>
      </c>
    </row>
    <row r="18" customFormat="false" ht="21.75" hidden="false" customHeight="true" outlineLevel="0" collapsed="false">
      <c r="B18" s="11" t="n">
        <v>12</v>
      </c>
      <c r="C18" s="12" t="s">
        <v>210</v>
      </c>
      <c r="D18" s="11" t="s">
        <v>162</v>
      </c>
      <c r="E18" s="68" t="n">
        <v>46091</v>
      </c>
      <c r="F18" s="68" t="n">
        <v>46101</v>
      </c>
      <c r="G18" s="68" t="n">
        <v>46113</v>
      </c>
      <c r="H18" s="68"/>
      <c r="I18" s="68" t="n">
        <v>46137</v>
      </c>
      <c r="J18" s="68"/>
      <c r="K18" s="68" t="n">
        <v>46157</v>
      </c>
      <c r="L18" s="68"/>
      <c r="M18" s="68" t="n">
        <v>46178</v>
      </c>
      <c r="N18" s="68"/>
      <c r="O18" s="68" t="n">
        <v>46198</v>
      </c>
      <c r="P18" s="68"/>
      <c r="Q18" s="68" t="n">
        <v>46213</v>
      </c>
      <c r="R18" s="68"/>
      <c r="S18" s="59" t="str">
        <f aca="false">IF(COUNTA(F18,H18,J18,L18,N18,P18,R18)=0,"Not Started",IF(R18&lt;&gt;"","In Production",IF(P18&lt;&gt;"","UAT Complete",IF(N18&lt;&gt;"","Visual Complete",IF(L18&lt;&gt;"","Pipeline Complete",IF(J18&lt;&gt;"","Data Model Complete",IF(H18&lt;&gt;"","Design Approved",IF(F18&lt;&gt;"","BRD Complete","Not Started"))))))))</f>
        <v>BRD Complete</v>
      </c>
      <c r="T18" s="69" t="n">
        <f aca="false">COUNTA(F18,H18,J18,L18,N18,P18,R18)/7</f>
        <v>0.142857142857143</v>
      </c>
    </row>
    <row r="19" customFormat="false" ht="21.75" hidden="false" customHeight="true" outlineLevel="0" collapsed="false">
      <c r="B19" s="11" t="n">
        <v>13</v>
      </c>
      <c r="C19" s="12" t="s">
        <v>211</v>
      </c>
      <c r="D19" s="11" t="s">
        <v>206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59" t="str">
        <f aca="false">IF(COUNTA(F19,H19,J19,L19,N19,P19,R19)=0,"Not Started",IF(R19&lt;&gt;"","In Production",IF(P19&lt;&gt;"","UAT Complete",IF(N19&lt;&gt;"","Visual Complete",IF(L19&lt;&gt;"","Pipeline Complete",IF(J19&lt;&gt;"","Data Model Complete",IF(H19&lt;&gt;"","Design Approved",IF(F19&lt;&gt;"","BRD Complete","Not Started"))))))))</f>
        <v>Not Started</v>
      </c>
      <c r="T19" s="69" t="n">
        <f aca="false">COUNTA(F19,H19,J19,L19,N19,P19,R19)/7</f>
        <v>0</v>
      </c>
    </row>
    <row r="20" customFormat="false" ht="21.75" hidden="false" customHeight="true" outlineLevel="0" collapsed="false">
      <c r="B20" s="11" t="n">
        <v>14</v>
      </c>
      <c r="C20" s="12" t="s">
        <v>213</v>
      </c>
      <c r="D20" s="11" t="s">
        <v>206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59" t="str">
        <f aca="false">IF(COUNTA(F20,H20,J20,L20,N20,P20,R20)=0,"Not Started",IF(R20&lt;&gt;"","In Production",IF(P20&lt;&gt;"","UAT Complete",IF(N20&lt;&gt;"","Visual Complete",IF(L20&lt;&gt;"","Pipeline Complete",IF(J20&lt;&gt;"","Data Model Complete",IF(H20&lt;&gt;"","Design Approved",IF(F20&lt;&gt;"","BRD Complete","Not Started"))))))))</f>
        <v>Not Started</v>
      </c>
      <c r="T20" s="69" t="n">
        <f aca="false">COUNTA(F20,H20,J20,L20,N20,P20,R20)/7</f>
        <v>0</v>
      </c>
    </row>
    <row r="21" customFormat="false" ht="21.75" hidden="false" customHeight="true" outlineLevel="0" collapsed="false">
      <c r="B21" s="11" t="n">
        <v>15</v>
      </c>
      <c r="C21" s="12" t="s">
        <v>214</v>
      </c>
      <c r="D21" s="11" t="s">
        <v>206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59" t="str">
        <f aca="false">IF(COUNTA(F21,H21,J21,L21,N21,P21,R21)=0,"Not Started",IF(R21&lt;&gt;"","In Production",IF(P21&lt;&gt;"","UAT Complete",IF(N21&lt;&gt;"","Visual Complete",IF(L21&lt;&gt;"","Pipeline Complete",IF(J21&lt;&gt;"","Data Model Complete",IF(H21&lt;&gt;"","Design Approved",IF(F21&lt;&gt;"","BRD Complete","Not Started"))))))))</f>
        <v>Not Started</v>
      </c>
      <c r="T21" s="69" t="n">
        <f aca="false">COUNTA(F21,H21,J21,L21,N21,P21,R21)/7</f>
        <v>0</v>
      </c>
    </row>
    <row r="23" customFormat="false" ht="24" hidden="false" customHeight="true" outlineLevel="0" collapsed="false">
      <c r="B23" s="70" t="s">
        <v>270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1" t="n">
        <f aca="false">AVERAGE(T7:T21)</f>
        <v>0.323809523809524</v>
      </c>
    </row>
    <row r="25" customFormat="false" ht="24" hidden="false" customHeight="true" outlineLevel="0" collapsed="false">
      <c r="B25" s="5" t="s">
        <v>271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customFormat="false" ht="21.75" hidden="false" customHeight="true" outlineLevel="0" collapsed="false">
      <c r="B26" s="58" t="s">
        <v>42</v>
      </c>
      <c r="C26" s="58" t="s">
        <v>272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 t="s">
        <v>273</v>
      </c>
    </row>
    <row r="27" customFormat="false" ht="21.75" hidden="false" customHeight="true" outlineLevel="0" collapsed="false">
      <c r="B27" s="72" t="n">
        <v>1</v>
      </c>
      <c r="C27" s="73" t="s">
        <v>274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4" t="n">
        <f aca="false">AVERAGE(T7:T21)</f>
        <v>0.323809523809524</v>
      </c>
    </row>
    <row r="28" customFormat="false" ht="21.75" hidden="false" customHeight="true" outlineLevel="0" collapsed="false">
      <c r="B28" s="72" t="n">
        <v>2</v>
      </c>
      <c r="C28" s="73" t="s">
        <v>275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24" t="str">
        <f aca="false">IFERROR(SUMPRODUCT((R7:R21&lt;&gt;"")*(Q7:Q21&lt;&gt;"")*(R7:R21&lt;=Q7:Q21+0))/SUMPRODUCT((R7:R21&lt;&gt;"")*1),"")</f>
        <v/>
      </c>
    </row>
    <row r="29" customFormat="false" ht="21.75" hidden="false" customHeight="true" outlineLevel="0" collapsed="false">
      <c r="B29" s="72" t="n">
        <v>3</v>
      </c>
      <c r="C29" s="73" t="s">
        <v>276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5" t="str">
        <f aca="false">IFERROR(SUMPRODUCT((R7:R21&lt;&gt;"")*(F7:F21&lt;&gt;"")*(R7:R21-F7:F21))/SUMPRODUCT((R7:R21&lt;&gt;"")*(F7:F21&lt;&gt;"")*1),"")</f>
        <v/>
      </c>
    </row>
    <row r="30" customFormat="false" ht="21.75" hidden="false" customHeight="true" outlineLevel="0" collapsed="false">
      <c r="B30" s="72" t="n">
        <v>4</v>
      </c>
      <c r="C30" s="73" t="s">
        <v>277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24" t="n">
        <f aca="false">IFERROR(SUMPRODUCT((F7:F21&lt;&gt;"")*(E7:E21&lt;&gt;"")*(F7:F21&lt;=E7:E21+0))/SUMPRODUCT((F7:F21&lt;&gt;"")*1),"")</f>
        <v>0</v>
      </c>
    </row>
    <row r="31" customFormat="false" ht="21.75" hidden="false" customHeight="true" outlineLevel="0" collapsed="false">
      <c r="B31" s="72" t="n">
        <v>5</v>
      </c>
      <c r="C31" s="73" t="s">
        <v>278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24" t="n">
        <f aca="false">IFERROR(SUMPRODUCT((H7:H21&lt;&gt;"")*(G7:G21&lt;&gt;"")*(H7:H21&lt;=G7:G21+0))/SUMPRODUCT((H7:H21&lt;&gt;"")*1),"")</f>
        <v>0</v>
      </c>
    </row>
    <row r="32" customFormat="false" ht="21.75" hidden="false" customHeight="true" outlineLevel="0" collapsed="false">
      <c r="B32" s="72" t="n">
        <v>6</v>
      </c>
      <c r="C32" s="73" t="s">
        <v>279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5" t="n">
        <f aca="false">IFERROR(SUMPRODUCT((H7:H21&lt;&gt;"")*(G7:G21&lt;&gt;"")*(H7:H21-G7:G21))/SUMPRODUCT((H7:H21&lt;&gt;"")*(G7:G21&lt;&gt;"")*1),"")</f>
        <v>9.22222222222222</v>
      </c>
    </row>
    <row r="33" customFormat="false" ht="21.75" hidden="false" customHeight="true" outlineLevel="0" collapsed="false">
      <c r="B33" s="72" t="n">
        <v>7</v>
      </c>
      <c r="C33" s="73" t="s">
        <v>280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24" t="n">
        <f aca="false">IFERROR(SUMPRODUCT((L7:L21&lt;&gt;"")*(K7:K21&lt;&gt;"")*(L7:L21&lt;=K7:K21+0))/SUMPRODUCT((L7:L21&lt;&gt;"")*1),"")</f>
        <v>0</v>
      </c>
    </row>
    <row r="34" customFormat="false" ht="21.75" hidden="false" customHeight="true" outlineLevel="0" collapsed="false">
      <c r="B34" s="72" t="n">
        <v>8</v>
      </c>
      <c r="C34" s="73" t="s">
        <v>281</v>
      </c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24" t="n">
        <f aca="false">IFERROR(SUMPRODUCT((N7:N21&lt;&gt;"")*(M7:M21&lt;&gt;"")*(N7:N21&lt;=M7:M21+0))/SUMPRODUCT((N7:N21&lt;&gt;"")*1),"")</f>
        <v>0</v>
      </c>
    </row>
    <row r="35" customFormat="false" ht="21.75" hidden="false" customHeight="true" outlineLevel="0" collapsed="false">
      <c r="B35" s="72" t="n">
        <v>9</v>
      </c>
      <c r="C35" s="73" t="s">
        <v>82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24" t="n">
        <f aca="false">IFERROR(SUMPRODUCT((P7:P21&lt;&gt;"")*(O7:O21&lt;&gt;"")*(P7:P21&lt;=O7:O21+0))/SUMPRODUCT((P7:P21&lt;&gt;"")*1),"")</f>
        <v>0</v>
      </c>
    </row>
    <row r="37" customFormat="false" ht="21.75" hidden="false" customHeight="true" outlineLevel="0" collapsed="false">
      <c r="B37" s="76" t="s">
        <v>282</v>
      </c>
      <c r="C37" s="76"/>
      <c r="D37" s="76"/>
      <c r="E37" s="76"/>
      <c r="F37" s="76"/>
      <c r="G37" s="76"/>
      <c r="H37" s="76"/>
    </row>
    <row r="38" customFormat="false" ht="15.75" hidden="false" customHeight="true" outlineLevel="0" collapsed="false">
      <c r="B38" s="77"/>
      <c r="C38" s="78" t="s">
        <v>283</v>
      </c>
      <c r="D38" s="79" t="s">
        <v>284</v>
      </c>
      <c r="E38" s="79"/>
      <c r="F38" s="79"/>
      <c r="G38" s="79"/>
      <c r="H38" s="79"/>
    </row>
    <row r="39" customFormat="false" ht="15.75" hidden="false" customHeight="true" outlineLevel="0" collapsed="false">
      <c r="B39" s="80"/>
      <c r="C39" s="78" t="s">
        <v>285</v>
      </c>
      <c r="D39" s="79" t="s">
        <v>286</v>
      </c>
      <c r="E39" s="79"/>
      <c r="F39" s="79"/>
      <c r="G39" s="79"/>
      <c r="H39" s="79"/>
    </row>
    <row r="40" customFormat="false" ht="15.75" hidden="false" customHeight="true" outlineLevel="0" collapsed="false">
      <c r="B40" s="81"/>
      <c r="C40" s="78" t="s">
        <v>287</v>
      </c>
      <c r="D40" s="79" t="s">
        <v>288</v>
      </c>
      <c r="E40" s="79"/>
      <c r="F40" s="79"/>
      <c r="G40" s="79"/>
      <c r="H40" s="79"/>
    </row>
    <row r="41" customFormat="false" ht="15.75" hidden="false" customHeight="true" outlineLevel="0" collapsed="false">
      <c r="B41" s="82"/>
      <c r="C41" s="78" t="s">
        <v>289</v>
      </c>
      <c r="D41" s="79" t="s">
        <v>290</v>
      </c>
      <c r="E41" s="79"/>
      <c r="F41" s="79"/>
      <c r="G41" s="79"/>
      <c r="H41" s="79"/>
    </row>
    <row r="42" customFormat="false" ht="15.75" hidden="false" customHeight="true" outlineLevel="0" collapsed="false">
      <c r="B42" s="83"/>
      <c r="C42" s="78" t="s">
        <v>291</v>
      </c>
      <c r="D42" s="79" t="s">
        <v>292</v>
      </c>
      <c r="E42" s="79"/>
      <c r="F42" s="79"/>
      <c r="G42" s="79"/>
      <c r="H42" s="79"/>
    </row>
  </sheetData>
  <mergeCells count="26">
    <mergeCell ref="B3:T3"/>
    <mergeCell ref="E5:F5"/>
    <mergeCell ref="G5:H5"/>
    <mergeCell ref="I5:J5"/>
    <mergeCell ref="K5:L5"/>
    <mergeCell ref="M5:N5"/>
    <mergeCell ref="O5:P5"/>
    <mergeCell ref="Q5:R5"/>
    <mergeCell ref="B23:S23"/>
    <mergeCell ref="B25:T25"/>
    <mergeCell ref="C26:S26"/>
    <mergeCell ref="C27:S27"/>
    <mergeCell ref="C28:S28"/>
    <mergeCell ref="C29:S29"/>
    <mergeCell ref="C30:S30"/>
    <mergeCell ref="C31:S31"/>
    <mergeCell ref="C32:S32"/>
    <mergeCell ref="C33:S33"/>
    <mergeCell ref="C34:S34"/>
    <mergeCell ref="C35:S35"/>
    <mergeCell ref="B37:H37"/>
    <mergeCell ref="D38:H38"/>
    <mergeCell ref="D39:H39"/>
    <mergeCell ref="D40:H40"/>
    <mergeCell ref="D41:H41"/>
    <mergeCell ref="D42:H42"/>
  </mergeCells>
  <conditionalFormatting sqref="T7:T21">
    <cfRule type="cellIs" priority="2" operator="greaterThanOrEqual" aboveAverage="0" equalAverage="0" bottom="0" percent="0" rank="0" text="" dxfId="13">
      <formula>1</formula>
    </cfRule>
    <cfRule type="cellIs" priority="3" operator="between" aboveAverage="0" equalAverage="0" bottom="0" percent="0" rank="0" text="" dxfId="14">
      <formula>0.5</formula>
      <formula>0.9999</formula>
    </cfRule>
    <cfRule type="cellIs" priority="4" operator="lessThan" aboveAverage="0" equalAverage="0" bottom="0" percent="0" rank="0" text="" dxfId="15">
      <formula>0.5</formula>
    </cfRule>
  </conditionalFormatting>
  <conditionalFormatting sqref="S7:S21">
    <cfRule type="expression" priority="5" aboveAverage="0" equalAverage="0" bottom="0" percent="0" rank="0" text="" dxfId="13">
      <formula>$S7="In Production"</formula>
    </cfRule>
    <cfRule type="expression" priority="6" aboveAverage="0" equalAverage="0" bottom="0" percent="0" rank="0" text="" dxfId="16">
      <formula>$S7="Not Started"</formula>
    </cfRule>
  </conditionalFormatting>
  <conditionalFormatting sqref="F7:F21">
    <cfRule type="expression" priority="7" aboveAverage="0" equalAverage="0" bottom="0" percent="0" rank="0" text="" dxfId="17">
      <formula>AND($F7&lt;&gt;"",$E7&lt;&gt;"",$F7&gt;$E7)</formula>
    </cfRule>
  </conditionalFormatting>
  <conditionalFormatting sqref="H7:H21">
    <cfRule type="expression" priority="8" aboveAverage="0" equalAverage="0" bottom="0" percent="0" rank="0" text="" dxfId="17">
      <formula>AND($H7&lt;&gt;"",$G7&lt;&gt;"",$H7&gt;$G7)</formula>
    </cfRule>
  </conditionalFormatting>
  <conditionalFormatting sqref="J7:J21">
    <cfRule type="expression" priority="9" aboveAverage="0" equalAverage="0" bottom="0" percent="0" rank="0" text="" dxfId="17">
      <formula>AND($J7&lt;&gt;"",$I7&lt;&gt;"",$J7&gt;$I7)</formula>
    </cfRule>
  </conditionalFormatting>
  <conditionalFormatting sqref="L7:L21">
    <cfRule type="expression" priority="10" aboveAverage="0" equalAverage="0" bottom="0" percent="0" rank="0" text="" dxfId="17">
      <formula>AND($L7&lt;&gt;"",$K7&lt;&gt;"",$L7&gt;$K7)</formula>
    </cfRule>
  </conditionalFormatting>
  <conditionalFormatting sqref="N7:N21">
    <cfRule type="expression" priority="11" aboveAverage="0" equalAverage="0" bottom="0" percent="0" rank="0" text="" dxfId="17">
      <formula>AND($N7&lt;&gt;"",$M7&lt;&gt;"",$N7&gt;$M7)</formula>
    </cfRule>
  </conditionalFormatting>
  <conditionalFormatting sqref="P7:P21">
    <cfRule type="expression" priority="12" aboveAverage="0" equalAverage="0" bottom="0" percent="0" rank="0" text="" dxfId="17">
      <formula>AND($P7&lt;&gt;"",$O7&lt;&gt;"",$P7&gt;$O7)</formula>
    </cfRule>
  </conditionalFormatting>
  <conditionalFormatting sqref="R7:R21">
    <cfRule type="expression" priority="13" aboveAverage="0" equalAverage="0" bottom="0" percent="0" rank="0" text="" dxfId="17">
      <formula>AND($R7&lt;&gt;"",$Q7&lt;&gt;"",$R7&gt;$Q7)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20"/>
  </cols>
  <sheetData>
    <row r="2" customFormat="false" ht="25.5" hidden="false" customHeight="true" outlineLevel="0" collapsed="false">
      <c r="B2" s="84" t="s">
        <v>293</v>
      </c>
    </row>
    <row r="3" customFormat="false" ht="15" hidden="false" customHeight="true" outlineLevel="0" collapsed="false">
      <c r="B3" s="34" t="s">
        <v>294</v>
      </c>
      <c r="C3" s="34"/>
      <c r="D3" s="34"/>
      <c r="E3" s="34"/>
      <c r="F3" s="34"/>
      <c r="G3" s="34"/>
      <c r="H3" s="34"/>
      <c r="I3" s="34"/>
    </row>
    <row r="5" customFormat="false" ht="24" hidden="false" customHeight="true" outlineLevel="0" collapsed="false">
      <c r="B5" s="9" t="s">
        <v>295</v>
      </c>
      <c r="C5" s="9" t="s">
        <v>296</v>
      </c>
      <c r="D5" s="9" t="s">
        <v>297</v>
      </c>
      <c r="E5" s="9" t="s">
        <v>298</v>
      </c>
      <c r="F5" s="9" t="s">
        <v>299</v>
      </c>
      <c r="G5" s="9" t="s">
        <v>300</v>
      </c>
      <c r="H5" s="9" t="s">
        <v>118</v>
      </c>
      <c r="I5" s="9" t="s">
        <v>50</v>
      </c>
    </row>
    <row r="6" customFormat="false" ht="15" hidden="false" customHeight="true" outlineLevel="0" collapsed="false">
      <c r="B6" s="85" t="s">
        <v>123</v>
      </c>
      <c r="C6" s="85" t="s">
        <v>122</v>
      </c>
      <c r="D6" s="85" t="s">
        <v>55</v>
      </c>
      <c r="E6" s="85" t="s">
        <v>121</v>
      </c>
      <c r="F6" s="85" t="s">
        <v>301</v>
      </c>
      <c r="G6" s="85" t="s">
        <v>124</v>
      </c>
      <c r="H6" s="85" t="s">
        <v>302</v>
      </c>
      <c r="I6" s="85" t="s">
        <v>303</v>
      </c>
    </row>
    <row r="7" customFormat="false" ht="23.25" hidden="false" customHeight="true" outlineLevel="0" collapsed="false">
      <c r="B7" s="72" t="s">
        <v>133</v>
      </c>
      <c r="C7" s="72" t="s">
        <v>191</v>
      </c>
      <c r="D7" s="72" t="s">
        <v>67</v>
      </c>
      <c r="E7" s="72" t="s">
        <v>174</v>
      </c>
      <c r="F7" s="72" t="s">
        <v>304</v>
      </c>
      <c r="G7" s="72" t="s">
        <v>175</v>
      </c>
      <c r="H7" s="72" t="s">
        <v>150</v>
      </c>
      <c r="I7" s="72" t="s">
        <v>305</v>
      </c>
    </row>
    <row r="8" customFormat="false" ht="15" hidden="false" customHeight="true" outlineLevel="0" collapsed="false">
      <c r="B8" s="85" t="s">
        <v>166</v>
      </c>
      <c r="C8" s="85" t="s">
        <v>199</v>
      </c>
      <c r="D8" s="85" t="s">
        <v>76</v>
      </c>
      <c r="E8" s="85" t="s">
        <v>162</v>
      </c>
      <c r="F8" s="85" t="s">
        <v>125</v>
      </c>
      <c r="G8" s="85" t="s">
        <v>163</v>
      </c>
      <c r="H8" s="85" t="s">
        <v>130</v>
      </c>
      <c r="I8" s="85" t="s">
        <v>306</v>
      </c>
    </row>
    <row r="9" customFormat="false" ht="15" hidden="false" customHeight="true" outlineLevel="0" collapsed="false">
      <c r="C9" s="72" t="s">
        <v>212</v>
      </c>
      <c r="E9" s="72" t="s">
        <v>179</v>
      </c>
      <c r="F9" s="72" t="s">
        <v>153</v>
      </c>
      <c r="G9" s="72" t="s">
        <v>159</v>
      </c>
      <c r="H9" s="72" t="s">
        <v>171</v>
      </c>
    </row>
    <row r="10" customFormat="false" ht="15" hidden="false" customHeight="true" outlineLevel="0" collapsed="false">
      <c r="C10" s="85" t="s">
        <v>307</v>
      </c>
      <c r="E10" s="85" t="s">
        <v>187</v>
      </c>
      <c r="F10" s="85" t="s">
        <v>139</v>
      </c>
      <c r="G10" s="85" t="s">
        <v>202</v>
      </c>
    </row>
    <row r="11" customFormat="false" ht="15" hidden="false" customHeight="true" outlineLevel="0" collapsed="false">
      <c r="E11" s="72" t="s">
        <v>146</v>
      </c>
      <c r="F11" s="72" t="s">
        <v>308</v>
      </c>
      <c r="G11" s="72" t="s">
        <v>147</v>
      </c>
    </row>
    <row r="12" customFormat="false" ht="15" hidden="false" customHeight="true" outlineLevel="0" collapsed="false">
      <c r="E12" s="85" t="s">
        <v>182</v>
      </c>
      <c r="G12" s="85" t="s">
        <v>309</v>
      </c>
    </row>
    <row r="13" customFormat="false" ht="15" hidden="false" customHeight="true" outlineLevel="0" collapsed="false">
      <c r="E13" s="72" t="s">
        <v>206</v>
      </c>
      <c r="G13" s="72" t="s">
        <v>206</v>
      </c>
    </row>
  </sheetData>
  <mergeCells count="1"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2026-05-07T13:46:00Z</dcterms:created>
  <dc:creator>openpyxl</dc:creator>
  <dc:description/>
  <dc:language>en-US</dc:language>
  <cp:lastModifiedBy/>
  <dcterms:modified xsi:type="dcterms:W3CDTF">2026-05-07T15:08:35Z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